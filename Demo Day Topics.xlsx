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jug" sheetId="1" r:id="rId5"/>
    <sheet state="visible" name="demo-day-update" sheetId="2" r:id="rId6"/>
    <sheet state="visible" name="Info Demo Day" sheetId="3" r:id="rId7"/>
    <sheet state="visible" name="generated" sheetId="4" r:id="rId8"/>
    <sheet state="visible" name="dataset_jug (копия)" sheetId="5" r:id="rId9"/>
  </sheets>
  <definedNames/>
  <calcPr/>
</workbook>
</file>

<file path=xl/sharedStrings.xml><?xml version="1.0" encoding="utf-8"?>
<sst xmlns="http://schemas.openxmlformats.org/spreadsheetml/2006/main" count="3774" uniqueCount="1415">
  <si>
    <t>id</t>
  </si>
  <si>
    <t>title</t>
  </si>
  <si>
    <t>speakers</t>
  </si>
  <si>
    <t>hall</t>
  </si>
  <si>
    <t>companies</t>
  </si>
  <si>
    <t>date</t>
  </si>
  <si>
    <t>start_time</t>
  </si>
  <si>
    <t>end_time</t>
  </si>
  <si>
    <t>category</t>
  </si>
  <si>
    <t>conf</t>
  </si>
  <si>
    <t>abstract</t>
  </si>
  <si>
    <t>3a60025a-c234-4ebf-99e1-4c2078e27e2a</t>
  </si>
  <si>
    <t>Интуиция</t>
  </si>
  <si>
    <t>Борисов А.С., Глухов Н.Ю., Плехов Р.К.</t>
  </si>
  <si>
    <t>ITMO</t>
  </si>
  <si>
    <t>10:30</t>
  </si>
  <si>
    <t>EdTech</t>
  </si>
  <si>
    <t>Demo Day</t>
  </si>
  <si>
    <t>Объясняет сложные места в классической литературе через контекст, отсылки и исторические справки. Превращает чтение в осмысленный опыт.</t>
  </si>
  <si>
    <t>2674ba4a-7446-4849-b208-ef70d5da516f</t>
  </si>
  <si>
    <t>Образовательный курс "Тестирование гипотез"</t>
  </si>
  <si>
    <t>Иванов Д.Ю.</t>
  </si>
  <si>
    <t>EdTech, Experiments, Hypotheses, Analytics, A/B</t>
  </si>
  <si>
    <t>Обучающий курс по практическому применению статистики в A/B-тестах и анализе данных. Заполняет пробел в образовательных программах РФ.</t>
  </si>
  <si>
    <t>137b31c4-05ab-4a95-add0-5fc596947ac1</t>
  </si>
  <si>
    <t>AI-ассистент для курса “Теория и история международных отношений”</t>
  </si>
  <si>
    <t>Муравьёва Н.В.</t>
  </si>
  <si>
    <t>EdTech, AI</t>
  </si>
  <si>
    <t>Помогает студентам глубже понимать классическую литературу по международным отношениям через контекст и отсылки. Снижает порог входа и заменяет поверхностные суммаризаторы.</t>
  </si>
  <si>
    <t>17359097-f757-4e3e-96e5-cb9edc71a0c5</t>
  </si>
  <si>
    <t>Курс по машинному обучению для НИУ ВШЭ</t>
  </si>
  <si>
    <t>Рустамова Д.Д.</t>
  </si>
  <si>
    <t>EdTech, ML, Education, Curriculum</t>
  </si>
  <si>
    <t>Создаёт с нуля курс ML для инженерного факультета с автоматической проверкой заданий через ИИ. Покрывает базовые модели, обработку данных и применение в практике.</t>
  </si>
  <si>
    <t>9ede99aa-4995-44e2-933b-b1c23786b1fc</t>
  </si>
  <si>
    <t>СОВА: Сопровождающий Образовательный Виртуальный Ассистент</t>
  </si>
  <si>
    <t>Сазанаков Д.В., Сиворакша Т.А., Уколов С.Д.</t>
  </si>
  <si>
    <t>EdTech, NLP</t>
  </si>
  <si>
    <t>Помогает школьникам с ДЗ через пошаговые подсказки, а не списывание. Поддерживает фото, голос и текст.</t>
  </si>
  <si>
    <t>4bdf66d8-8663-411c-a24b-f2d631a9b834</t>
  </si>
  <si>
    <t>AI teacher helper - ИИ-помощник для учителя и ученика</t>
  </si>
  <si>
    <t>Деулин Н.В</t>
  </si>
  <si>
    <t>Помогает составлять задания и объяснять решения в Telegram-боте. Ускоряет закрепление материала и снижает нагрузку на педагогов.</t>
  </si>
  <si>
    <t>c92e0165-0232-458a-98a0-49e4cb12f718</t>
  </si>
  <si>
    <t>TensorTalks</t>
  </si>
  <si>
    <t>Бусько Н.А., Рычков П.А.</t>
  </si>
  <si>
    <t>Платформа для подготовки к ML-собеседованиям: симуляция интервью и AI-анализ ответов. Помогает как кандидатам, так и компаниям стандартизировать найм.</t>
  </si>
  <si>
    <t>874407e0-4603-4aa6-b7fc-58c836ffec54</t>
  </si>
  <si>
    <t>Разработка автономного тренажёра для обучения AI Security</t>
  </si>
  <si>
    <t>Чернятов А.Е., Кириллов А.И., Фейгинова М.Д., Низамов Т.Д.</t>
  </si>
  <si>
    <t>EdTech, NLP, Agents, Security</t>
  </si>
  <si>
    <t>Low-code платформа для обучения безопасной разработке ИИ: моделирование угроз, атаки, защита, тестирование. Снижает нагрузку на преподавателей и масштабирует обучение.</t>
  </si>
  <si>
    <t>ff60c13a-357d-449d-8a52-1f27e0ec1813</t>
  </si>
  <si>
    <t>ЖигулИИ Trainer: Платформа автоматизированной проверки учебных заданий с поддержкой DevOps/MLOps практик</t>
  </si>
  <si>
    <t>Протасов Я.А., Дорофеев Д.А., Ерофеев Д.А., Попов В.А.</t>
  </si>
  <si>
    <t>EdTech, NLP, Agents, DevOps, MLOps</t>
  </si>
  <si>
    <t>Автоматизированная платформа проверки DevOps/MLOps-заданий студентов с мгновенной обратной связью. Сокращает время проверки на 50% и освобождает преподавателей для сложных задач.</t>
  </si>
  <si>
    <t>29167913-afe4-4ec2-992e-0f9434c7769e</t>
  </si>
  <si>
    <t>Воркшоп по разработке ИИ-персонажа</t>
  </si>
  <si>
    <t>Славкин В.В, Балицкий С.Д.</t>
  </si>
  <si>
    <t>EdTech, NLP, Agents</t>
  </si>
  <si>
    <t>Образовательный интенсив в Minecraft: участники создают ИИ-агентов, которые взаимодействуют и ведут стримы. Фокус на уверенности и практическом результате.</t>
  </si>
  <si>
    <t>e5a8aa90-61c5-41da-aa28-e2d92e1420ea</t>
  </si>
  <si>
    <t>AI StudyPath Mentor</t>
  </si>
  <si>
    <t>Еникеев Т.Р.</t>
  </si>
  <si>
    <t>NLP, agents, EdTech</t>
  </si>
  <si>
    <t>ИИ-ассистент, интегрированный в Telegram, который сопровождает студентов по образовательной траектории, персонализируя рекомендации по проектам, ВКР, мероприятиям и напоминая о дедлайнах</t>
  </si>
  <si>
    <t>281c51ee-0138-4774-bc10-5adf2c608d4d</t>
  </si>
  <si>
    <t>Построение индивидуальной траектории развития AITH</t>
  </si>
  <si>
    <t>Горбунов Н.С., Мынко С.А., Сидорова А.П.</t>
  </si>
  <si>
    <t>EdTech, Recsys, Analytics, NLP, CV</t>
  </si>
  <si>
    <t>Формирует персонализированный образовательный маршрут студента с рекомендациями на каждом этапе. Помогает хабу снижать отток и повышать мотивацию.</t>
  </si>
  <si>
    <t>0d1fd49b-c581-4fa0-bc98-3a804ee3a29a</t>
  </si>
  <si>
    <t>Сервис кандидатогенерации на основе векторного поиска</t>
  </si>
  <si>
    <t>Карсаков Г.В.</t>
  </si>
  <si>
    <t>Recsys, Analytics, VectorSearch</t>
  </si>
  <si>
    <t>Улучшает рекомендации и поиск товаров для увеличения продаж и лояльности. Оценивается через NDCG, MRR и A/B-тесты.</t>
  </si>
  <si>
    <t>2563f7c8-2f4a-49cd-aaa8-60aa2b094037</t>
  </si>
  <si>
    <t>HR-Assistant</t>
  </si>
  <si>
    <t>Осинцев М.М., Тенишев Н.С., Теняев А.И.</t>
  </si>
  <si>
    <t>NLP, HR, Matching, Ranking, LLM</t>
  </si>
  <si>
    <t>Автоматизирует подбор кандидатов: матчинг, генерация вакансий, оценка. Адаптирован под русскоязычный HR-контекст.</t>
  </si>
  <si>
    <t>70652630-9b32-4e71-b291-b32f900c1548</t>
  </si>
  <si>
    <t>HR-matcher</t>
  </si>
  <si>
    <t>Гурциев Р.З.</t>
  </si>
  <si>
    <t>NLP, HR, matching, ranking, embeddings</t>
  </si>
  <si>
    <t>Автоматизирует подбор кандидатов через семантический матчинг резюме и вакансий. Сокращает время отбора до секунд и повышает релевантность.</t>
  </si>
  <si>
    <t>3ec2c0d4-4c81-4506-b8f2-79ace542b0af</t>
  </si>
  <si>
    <t>Lacmus Search</t>
  </si>
  <si>
    <t>Позднякова М.П.</t>
  </si>
  <si>
    <t>NLP, Search, Retrieval, Ranking, Embeddings</t>
  </si>
  <si>
    <t>Интеллектуальный поиск экспертов внутри консалтинговой компании по навыкам и опыту. Объединяет семантический и параметрический поиск для точного подбора.</t>
  </si>
  <si>
    <t>3fa44602-0f92-479c-b2fd-80dc4e7a9d96</t>
  </si>
  <si>
    <t>Карьерник</t>
  </si>
  <si>
    <t>Хайрутдинов Т.Р.</t>
  </si>
  <si>
    <t>EdTech, career</t>
  </si>
  <si>
    <t>Готовит кандидатов к интервью через 5–10-минутные микросессии и симуляции. Фокус на аналитике, SQL, продукте.</t>
  </si>
  <si>
    <t>c46fff3a-c668-4c6c-82bd-1a0487e5694f</t>
  </si>
  <si>
    <t>AI-компаньон для профориентации</t>
  </si>
  <si>
    <t>Булдаков Н.В., Карпова А.А., Мухамедов Э.Д., Цыкунов А.С., Цыбин В.В.</t>
  </si>
  <si>
    <t>Autonomous Agents, EdTech, Recsys, NLP</t>
  </si>
  <si>
    <t>За один сеанс помогает пользователю выбрать профессию на основе ценностей, опыта и интересов. Заменяет десятки тестов и консультаций.</t>
  </si>
  <si>
    <t>adfb6c36-c6b8-46c5-b3a9-8ccb28f7b4a7</t>
  </si>
  <si>
    <t>НАËМ</t>
  </si>
  <si>
    <t>Воробьев А.Д., Головачева А.П., Демидов Д.Р., Демьянов А.С., Головкин И.А., Воропай О.А.</t>
  </si>
  <si>
    <t>CV, NLP, ASR, TTS</t>
  </si>
  <si>
    <t>Анализирует видеоинтервью: мимику, речь, soft skills — и даёт структурированную оценку кандидата. Снижает субъективность и ошибки найма.</t>
  </si>
  <si>
    <t>c259f8da-509c-4bc1-a762-89817337f96d</t>
  </si>
  <si>
    <t>Praxis-core / praxis-core</t>
  </si>
  <si>
    <t>Калинин А.С., Луняков А.А., Полетаев В.А., Чуфистов Г.А.</t>
  </si>
  <si>
    <t>Autonomous agents, NLP</t>
  </si>
  <si>
    <t>Автоматизирует сбор и анализ обратной связи по методологии 360°. Генерирует отчёты и рекомендации с помощью LLM.</t>
  </si>
  <si>
    <t>ec007557-f1fc-4e45-8b44-d86157a93333</t>
  </si>
  <si>
    <t>Sales mentor AI</t>
  </si>
  <si>
    <t>Паршиков А.В</t>
  </si>
  <si>
    <t>EdTech, AI, Sales, Coaching, Training</t>
  </si>
  <si>
    <t>ИИ-ассистент для обучения и сопровождения менеджеров по продажам, который помогает отрабатывать навыки общения с клиентами через симуляцию звонков с использованием ASR и TTS.</t>
  </si>
  <si>
    <t>545fbd33-f58d-4e08-bd13-24fa33f7c770</t>
  </si>
  <si>
    <t>DealRocket - сервис поиска B2B клиентов</t>
  </si>
  <si>
    <t>Сафронов А.А., Колташев Я.А.</t>
  </si>
  <si>
    <t>NLP</t>
  </si>
  <si>
    <t>Помогает B2B-компаниям находить клиентов: пользователь описывает цель в свободной форме, система сама выбирает нужные фильтры. Упрощает работу с сложными каталогами.</t>
  </si>
  <si>
    <t>5caecd51-fe21-43f7-bb2e-7f63d03e47ee</t>
  </si>
  <si>
    <t>Генерация AI-агентов на JVM-фреймворках</t>
  </si>
  <si>
    <t>Федотова Е.Р.</t>
  </si>
  <si>
    <t>Agents, JVM, LLM, Frameworks, Koog</t>
  </si>
  <si>
    <t>Разработка AI - агента с акцентом на процессы онбординга и адаптации кадров в компаниях, опыт первого пользователя фреймворка.</t>
  </si>
  <si>
    <t>9aae9757-874c-4dc9-99b1-b71efb0a1703</t>
  </si>
  <si>
    <t>Рекомендательный Doc2Doc сервис товарных картинок</t>
  </si>
  <si>
    <t>Аристархов З.Г., Доронин И.В., Аржа А.Н.</t>
  </si>
  <si>
    <t>Recsys, CV, NLP</t>
  </si>
  <si>
    <t>Находит визуально и семантически похожие товарные изображения по запросу. Полезен для маркетплейсов и контент-платформ.</t>
  </si>
  <si>
    <t>050700b3-0fa5-4be4-9f7c-e376064e0d32</t>
  </si>
  <si>
    <t>Система для оценки качества работы операторов тех поддержки по аудиозаписям их разговоров с покупателем</t>
  </si>
  <si>
    <t>Набиуллин И.П.</t>
  </si>
  <si>
    <t>ASR, Speech-to-text, QA</t>
  </si>
  <si>
    <t>Система автоматизирует анализ разговоров с клиентами, заменяя частичный и субъективный ручной контроль на объективную ИИ-оценку. Решение включает диаризацию, транскрибацию и анализ текста с помощью LLM, обеспечивая 80% согласие с экспертной разметкой и возможность масштабирования на все звонки.</t>
  </si>
  <si>
    <t>c545a653-4625-43c3-b939-d29b65d30f53</t>
  </si>
  <si>
    <t>Fixly</t>
  </si>
  <si>
    <t>Галиева Р.Р.</t>
  </si>
  <si>
    <t>NLP, agents</t>
  </si>
  <si>
    <t>AI-диагностик для мастеров: по фото определяет неисправность и формирует список запчастей. Сокращает время на заявку на 90% и повышает точность ремонта.</t>
  </si>
  <si>
    <t>10f6a765-bd32-4d84-893f-54d06f2726a3</t>
  </si>
  <si>
    <t>CV категоризация e-commerce товаров</t>
  </si>
  <si>
    <t>Суслов М.А.</t>
  </si>
  <si>
    <t>Computer Vision, Classification, E-commerce</t>
  </si>
  <si>
    <t>Улучшает категоризацию товаров с помощью VLM, анализируя изображения, а не только текст. Повышает точность каталога и релевантность поиска.</t>
  </si>
  <si>
    <t>edbb8945-0fce-4cf0-87ab-f7b4980064ff</t>
  </si>
  <si>
    <t>Predisense</t>
  </si>
  <si>
    <t>Орлова О.В.</t>
  </si>
  <si>
    <t>recsys, predictive</t>
  </si>
  <si>
    <t>Даёт селлерам готовые рекомендации: что закупать, в каком объёме и по какой цене. Экономит до 90% времени на анализ и повышает прибыль.</t>
  </si>
  <si>
    <t>f14aee7a-4f98-4c98-9c16-4802a65ea3dc</t>
  </si>
  <si>
    <t>Проекты Х5</t>
  </si>
  <si>
    <t>Деникаев Э.Р.</t>
  </si>
  <si>
    <t>Speech synthesis, TTS, Voice</t>
  </si>
  <si>
    <t>Включает транскрибацию/суммаризацию встреч и платформу с аватарами для первичных собеседований. Автоматизирует рутинные HR- и коммуникационные процессы.</t>
  </si>
  <si>
    <t>f5647b10-0c85-4452-8b00-bb8e3d17958b</t>
  </si>
  <si>
    <t>Expired Product Detector</t>
  </si>
  <si>
    <t>Михалевич М.А.</t>
  </si>
  <si>
    <t>Recsys, Time-series</t>
  </si>
  <si>
    <t>ML-система для автоматического выявления товаров с истекающим или уже просроченным сроком годности на полках магазинов Х5. Решение призвано заменить неэффективный текущий алгоритм на основе FIFO, учитывая реальные данные о продажах, поставках и списаниях, чтобы сократить потери продукции и снизить ручной труд сотрудников.</t>
  </si>
  <si>
    <t>3eac741e-be2e-4f1f-80b4-c6c5afce229b</t>
  </si>
  <si>
    <t>LexFlow</t>
  </si>
  <si>
    <t>Шевцов В.А</t>
  </si>
  <si>
    <t>Интерактивный ИИ-ассистент для изучения английского языка, который не только ведёт диалог, но и даёт персонализированную обратную связь по ошибкам. Проект реализован на стеке React + FastAPI + локальная LLM (Ollama) с планами миграции в облако</t>
  </si>
  <si>
    <t>d588a2ff-6729-4577-89a1-ed874e046fb4</t>
  </si>
  <si>
    <t>WideResearcher</t>
  </si>
  <si>
    <t>Аспаев Н.А</t>
  </si>
  <si>
    <t>Инструмент глубокого поиска с визуализацией эволюции запросов и сегментным ответом. Помогает исследователям структурировать знания и отслеживать источники.</t>
  </si>
  <si>
    <t>326e74cf-60c7-40dc-9b5c-462d258d04f0</t>
  </si>
  <si>
    <t>Джейн - AI ассистент преподователя</t>
  </si>
  <si>
    <t>Станкевич С.В.</t>
  </si>
  <si>
    <t>NLP, EdTech</t>
  </si>
  <si>
    <t>Специализированный ИИ-помощник для студентов и преподавателей урбанистики. Основан на работах Джейн Джейкобс и внутренних материалах курса.</t>
  </si>
  <si>
    <t>ed9cd898-bac9-48e5-a636-ec4e765e0f44</t>
  </si>
  <si>
    <t>SAYIT</t>
  </si>
  <si>
    <t>Чыонг Х.Д., Иргит А.А., Юдин К.А.</t>
  </si>
  <si>
    <t>NLP, agents, ASR, TTS</t>
  </si>
  <si>
    <t>Голосовой тренажёр для практики разговорного английского с мгновенной коррекцией ошибок. Работает 24/7 и заменяет дорогие уроки с носителями.</t>
  </si>
  <si>
    <t>a16fc3f0-c12f-4bac-92d1-65a7b83dab7a</t>
  </si>
  <si>
    <t>ИИ-ассистент для LMS Moodle</t>
  </si>
  <si>
    <t>Кирильцев Д.А., Трофимов А.Ю.</t>
  </si>
  <si>
    <t>EdTech, NLP, CV</t>
  </si>
  <si>
    <t>Автоматически проверяет студенческие работы и даёт предварительную обратную связь. Освобождает преподавателей от рутины и ускоряет обучение.</t>
  </si>
  <si>
    <t>1db2fc77-3e64-4473-a31a-38e6f9ce1504</t>
  </si>
  <si>
    <t>RAGL</t>
  </si>
  <si>
    <t>Головченко В.Е.</t>
  </si>
  <si>
    <t>NLP, RAG</t>
  </si>
  <si>
    <t>Визуальный инструмент для быстрой сборки и сравнения RAG-пайплайнов. Экономит время на эксперименты для исследователей и компаний.</t>
  </si>
  <si>
    <t>a6a1b096-9f09-49af-90fa-6c8b0f1f6170</t>
  </si>
  <si>
    <t>VLMHyperBench</t>
  </si>
  <si>
    <t>Ширяев А.Д.</t>
  </si>
  <si>
    <t>VLM, LLM, Benchmark</t>
  </si>
  <si>
    <t>Бенчмарк для сравнения мультимодальных моделей по метрикам, скорости и потреблению ресурсов. Поддерживает контейнеризацию и работу с промышленными датасетами.</t>
  </si>
  <si>
    <t>aedd8838-e02f-4903-be31-3ee5be013c19</t>
  </si>
  <si>
    <t>AgentArea - платформа для построения агентских сетей</t>
  </si>
  <si>
    <t>Горбунов Д.П.</t>
  </si>
  <si>
    <t>NLP, Agents</t>
  </si>
  <si>
    <t>Платформа для построения enterprise-агентских сетей с автоматическим планированием и подагентами. Конкурирует с западными аналогами, но с фокусом на российский рынок.</t>
  </si>
  <si>
    <t>f1b1a344-63ac-4893-ad85-82eefa52cd32</t>
  </si>
  <si>
    <t>AI Агент для автоматизированного управления инфраструктурой пользователя</t>
  </si>
  <si>
    <t>Устинов К.Е.</t>
  </si>
  <si>
    <t>ИИ-ассистент, который позволяет управлять облачной инфраструктурой через естественный язык, при этом строго соблюдая схемы и ограничения API (schema-guided reasoning). Решение снижает порог входа, уменьшает ошибки и ускоряет выполнение задач, превращая сложные операции в простые диалоговые команды.</t>
  </si>
  <si>
    <t>e35ac9cc-a696-461a-aa1c-f390aa3858ee</t>
  </si>
  <si>
    <t>Агент small-talk</t>
  </si>
  <si>
    <t>Еншов В.В.</t>
  </si>
  <si>
    <t>Autonomous agents, Dialogue</t>
  </si>
  <si>
    <t>ИИ-ассистент для клиентских менеджеров банка, который генерирует уместные темы для неформального общения и предлагает поводы для встреч (например, мероприятия или события). Это помогает укреплять отношения с ключевыми клиентами и повышает качество взаимодействия.</t>
  </si>
  <si>
    <t>a3978633-4391-4ca0-8d31-16a3ec41349a</t>
  </si>
  <si>
    <t>Avrora Assistant (Ассистент)</t>
  </si>
  <si>
    <t>Резитдинов А.Р.</t>
  </si>
  <si>
    <t>Единая точка входа для поиска информации по корпоративным системам и документам. Упрощает работу сотрудников и снижает когнитивную нагрузку.</t>
  </si>
  <si>
    <t>c8e5f64d-3263-413d-966b-4be2fbefb4ab</t>
  </si>
  <si>
    <t>LLM Agents Uncertainty</t>
  </si>
  <si>
    <t>Егоров Е.А</t>
  </si>
  <si>
    <t>Agents, Uncertainty, NLP</t>
  </si>
  <si>
    <t>Оценивает, насколько агент уверен в своём ответе, чтобы фильтровать ненадёжные результаты. Позволяет направлять сомнительные задачи экспертам.</t>
  </si>
  <si>
    <t>3b7af676-fac2-4596-94bc-6b831f41cddd</t>
  </si>
  <si>
    <t>Агентская система аналитики разметки</t>
  </si>
  <si>
    <t>Лукоянова В.А.</t>
  </si>
  <si>
    <t>Autonomous agents, Analytics, Labeling</t>
  </si>
  <si>
    <t>Автоматизирует управление командой менеджеров-разметчиков: распределяет задачи, учитывает компетенции и сроки. Повышает качество и скорость разметки.</t>
  </si>
  <si>
    <t>4f8c4b4c-98af-44a6-a12b-a8046b09c953</t>
  </si>
  <si>
    <t>Автоматизация формирования сетевых планов</t>
  </si>
  <si>
    <t>Есаулова Н.А., Казанцев Д.А.</t>
  </si>
  <si>
    <t>Industrial ML, Agents, Scheduling, Planning</t>
  </si>
  <si>
    <t>Преобразует проектную документацию в автоматически обновляемые сетевые графики работ. Снижает простои и ошибки при координации строительных процессов.</t>
  </si>
  <si>
    <t>fbaab27c-d788-49c5-8e29-52d71368f28d</t>
  </si>
  <si>
    <t>Turbo Sorter: AI Security</t>
  </si>
  <si>
    <t>Кажёкин Д.А., Кремнева П.П., Стог В.Г.</t>
  </si>
  <si>
    <t>NLP, Security, AI</t>
  </si>
  <si>
    <t>Помогает аналитикам быстро находить информацию по тактикам MITRE ATT&amp;CK. Работает локально и не передаёт данные в облако.</t>
  </si>
  <si>
    <t>9cd71658-e286-48f5-a678-0e0eea263bc3</t>
  </si>
  <si>
    <t>MCP-сервер для llamator</t>
  </si>
  <si>
    <t>Неронов Р.М., Иванов Н.А.</t>
  </si>
  <si>
    <t>LLM, Security, RedTeaming</t>
  </si>
  <si>
    <t>Фреймворк для автоматического тестирования безопасности LLM-систем на уязвимости типа jailbreak и утечки данных. Соответствует классам OWASP и позволяет запускать атаки в контролируемых условиях.</t>
  </si>
  <si>
    <t>25e8051c-a599-431b-bab2-d228faf890ef</t>
  </si>
  <si>
    <t>AI Security Lab Benchmark</t>
  </si>
  <si>
    <t>Грищенко В.О., Кочнев Г.Е.</t>
  </si>
  <si>
    <t>Autonomous agents, NLP, Security, Benchmark</t>
  </si>
  <si>
    <t>Разработка нового нового секьюрити-бенчмарка для агентных систем.</t>
  </si>
  <si>
    <t>92a63b65-f258-4b77-a0e9-6e4b65f56721</t>
  </si>
  <si>
    <t>BAD - модуль анализа активности</t>
  </si>
  <si>
    <t>Смирнов Т.О.</t>
  </si>
  <si>
    <t>MLSec, LLM</t>
  </si>
  <si>
    <t>Обнаруживает аномалии в поведении пользователей: хакерскую активность или нарушение корпоративных регламентов. Особенно актуален для защиты от кибератак в РФ.</t>
  </si>
  <si>
    <t>d54a4413-94b7-42c1-884f-a5d2ba99d382</t>
  </si>
  <si>
    <t>Мониторинг уязвимостей агентных систем</t>
  </si>
  <si>
    <t>Калиманова А.Т.</t>
  </si>
  <si>
    <t>Autonomous agents, NLP, Security, Monitoring</t>
  </si>
  <si>
    <t>Исследовательский проект по оценке безопасности LLM-агентов с помощью бенчмарка Tau2, включая анализ устойчивости к атакам, работу гайдрэйлов и тестирование на различных языковых моделях.</t>
  </si>
  <si>
    <t>a360dada-d649-4465-8926-d40ac8a2d899</t>
  </si>
  <si>
    <t>RAG verification</t>
  </si>
  <si>
    <t>Коновалов М.А., Мацаков Б.В.</t>
  </si>
  <si>
    <t>NLP, RAG, Verification, Evaluation, LLM</t>
  </si>
  <si>
    <t>Проверяет, соответствует ли сгенерированный ответ извлечённому контексту, чтобы снизить галлюцинации. Особенно важен для критических бизнес-процессов.</t>
  </si>
  <si>
    <t>2277050e-a474-4ed1-97f7-5bf2f91d83a0</t>
  </si>
  <si>
    <t>Ассистент для LMS Moodle</t>
  </si>
  <si>
    <t>Гуй Цици, Кирильцев Д.А.</t>
  </si>
  <si>
    <t>NLP, Moodle, Assistant, Education</t>
  </si>
  <si>
    <t>04ad743f-9228-436e-b5dd-291447df3a01</t>
  </si>
  <si>
    <t>Улучшение системы бенчмаркинга LLM</t>
  </si>
  <si>
    <t>Дягин Э.А</t>
  </si>
  <si>
    <t>NLP, LLM, Benchmarking, Evaluation, Metrics</t>
  </si>
  <si>
    <t>Проект по внедрению и оптимизации локальной системы оценки больших языковых моделей (LLM-as-a-Judge), которая заменяет дорогостоящие внешние API и повышает корректность оценок.</t>
  </si>
  <si>
    <t>2e7dfcbc-b5f2-40c8-bd17-af801afe2c9d</t>
  </si>
  <si>
    <t>RAG система автоматизации саппорта</t>
  </si>
  <si>
    <t>Басов М.И.</t>
  </si>
  <si>
    <t>NLP, RAG, Support, Automation</t>
  </si>
  <si>
    <t>ИИ-решение, которое помогает сотрудникам быстро находить точные ответы в корпоративной документации (Confluence, PDF и др.) через чат-интерфейс, снижая нагрузку на экспертов и ускоряя решение запросов. Система использует обучаемую генерацию, кастомный реранкер и продвинутую обработку текста, что позволяет адаптировать её под разные компании и домены без полной перестройки архитектуры.</t>
  </si>
  <si>
    <t>7a435d86-7eae-4dfd-8a72-48ccadf256e0</t>
  </si>
  <si>
    <t>Гео-эмбеддинги</t>
  </si>
  <si>
    <t>Киселев Г.А</t>
  </si>
  <si>
    <t>GeoML, Recsys, Embeddings, Location, Ranking</t>
  </si>
  <si>
    <t>Создаёт универсальное векторное представление локаций для быстрого решения геозадач. Экономит время и ресурсы при разработке моделей под новые сценарии.</t>
  </si>
  <si>
    <t>91f5db9c-c0df-41f0-9a1a-5b5ec2920c88</t>
  </si>
  <si>
    <t>Сервис геоаналитики на открытых данных</t>
  </si>
  <si>
    <t>Максимова П.Ю., Сенина А.С.</t>
  </si>
  <si>
    <t>Geospatial, OpenData, ML, Analytics, Mapping</t>
  </si>
  <si>
    <t>Оценивает привлекательность локаций для новых точек бизнеса с учётом множества факторов. Визуализирует рекомендации в виде тепловых карт.</t>
  </si>
  <si>
    <t>7518aa69-652d-4daf-8c90-5d5e7bd455ab</t>
  </si>
  <si>
    <t>Узнай город</t>
  </si>
  <si>
    <t>Акпаньонниде В.С., Гайдук Е.Д., Смольянов Н.А.</t>
  </si>
  <si>
    <t>CV, NLP, ML, Industry</t>
  </si>
  <si>
    <t>По фото здания в Санкт-Петербурге выдаёт его историю и архитектурные особенности. Использует one-shot детекцию и мультимодальную LLM.</t>
  </si>
  <si>
    <t>2f936e74-c7e5-4af6-a4b3-384094d18d01</t>
  </si>
  <si>
    <t>GO:AIway</t>
  </si>
  <si>
    <t>Дианаев А.Р., Потапов К.Д., Семчёнок В.Д.</t>
  </si>
  <si>
    <t>Industrial ML, MLOps, Production</t>
  </si>
  <si>
    <t>Создаёт адаптивный маршрут по городу с учётом интересов пользователя и реального времени. Включает контекстные аудиогиды и динамическую перестройку.</t>
  </si>
  <si>
    <t>980d3bb6-9af4-4b7a-806d-a953dc35af32</t>
  </si>
  <si>
    <t>Valde</t>
  </si>
  <si>
    <t>Яковлев В.Л.</t>
  </si>
  <si>
    <t>Recsys, Predictive, NLP</t>
  </si>
  <si>
    <t>Персонализированный подбор мероприятий на основе интересов пользователя. Повышает вовлечённость и удовлетворённость от участия.</t>
  </si>
  <si>
    <t>1f984736-fd6b-40cb-b9cb-aff53eb83d98</t>
  </si>
  <si>
    <t>Сервис поиска по структурированной информации</t>
  </si>
  <si>
    <t>Гумеров Б.Р.</t>
  </si>
  <si>
    <t>NLP, Search, StructuredData</t>
  </si>
  <si>
    <t>Система, позволяющая эффективно искать данные в заранее организованных (структурированных) источниках, таких как базы знаний, каталоги или техническая документация</t>
  </si>
  <si>
    <t>450c74b3-0088-4783-bbaa-f90354fc4fa5</t>
  </si>
  <si>
    <t>Интеллектуальный поиск для GminiSoft</t>
  </si>
  <si>
    <t>Лапин А., Малбашич Д.</t>
  </si>
  <si>
    <t>CV, ML, Industry, Search</t>
  </si>
  <si>
    <t>Система на основе RAG и гибридного поиска, которая позволяет быстро находить ответы в разнородной документации (PDF, DOCX, изображения) по недвижимости и строительству, включая сканированные материалы через OCR. Решение сокращает время поиска информации с часов до секунд и снижает нагрузку на экспертов за счёт точного и контекстно-осознанного поиска.</t>
  </si>
  <si>
    <t>a6590de6-9c4f-472a-87d1-dac0488bd09d</t>
  </si>
  <si>
    <t>Сегментация клиентов и рекомендации продуктов</t>
  </si>
  <si>
    <t>Сорвин Е.Д</t>
  </si>
  <si>
    <t>Recsys, Analytics</t>
  </si>
  <si>
    <t>Проект направлен на сегментацию клиентов и персонализированную рекомендацию банковских продуктов на основе транзакционных данных.</t>
  </si>
  <si>
    <t>0a79fb72-3321-484d-8f06-73a3ac9ca9b7</t>
  </si>
  <si>
    <t>Подготовка и ресерч данных для GigaChat</t>
  </si>
  <si>
    <t>Захарова В.А.</t>
  </si>
  <si>
    <t>LLM, data</t>
  </si>
  <si>
    <t>Дообучает мультимодальную модель на внутренних данных Сбера. Повышает качество обработки документов и изображений в русскоязычном контексте.</t>
  </si>
  <si>
    <t>cc979ea1-ec0d-4cc9-a323-8d820e0b610a</t>
  </si>
  <si>
    <t>Миграция рекомендательной системы VK Знакомств на микросервисную архитектуру и рост взаимностей</t>
  </si>
  <si>
    <t>Прохоров С.И.</t>
  </si>
  <si>
    <t>Recsys, Backend, Microservices</t>
  </si>
  <si>
    <t>Проект направлен на миграцию рекомендательной системы знакомств ВКонтакте на микросервисную архитектуру, обеспечивая пересчёт рекомендаций по запросу за сотни миллисекунд вместо расписания — это повышает реактивность системы и количество взаимных симпатий. Новая инфраструктура также упрощает и ускоряет разработку, делая её более предсказуемой и гибкой.</t>
  </si>
  <si>
    <t>cef4e7b2-e11b-4441-962b-36b6eea80a8f</t>
  </si>
  <si>
    <t>AI - Researcher</t>
  </si>
  <si>
    <t>Артемьев Н.Д., Иванова В.В.</t>
  </si>
  <si>
    <t>Autonomous agents, AI</t>
  </si>
  <si>
    <t>Мультиагентная система для ускорения научных исследований: генерирует гипотезы, пишет код, тестирует и оформляет статьи. Заменяет рутину исследователя и ускоряет R&amp;D-цикл.</t>
  </si>
  <si>
    <t>f20333be-d6cc-4359-b0ef-16735e8e125a</t>
  </si>
  <si>
    <t>Quick Insight</t>
  </si>
  <si>
    <t>Муранов Д.А</t>
  </si>
  <si>
    <t>Анализирует Telegram-посты и выявляет ключевые темы и инфоповоды в реальном времени. Экономит часы ручного мониторинга для медиа и бизнеса.</t>
  </si>
  <si>
    <t>8b0c3d8c-d5cf-4827-b2a6-34fd005a451e</t>
  </si>
  <si>
    <t>Нейростримерша NetTyan</t>
  </si>
  <si>
    <t>Бондарчук А.И., Жук М.Д., Иваненков А.С.</t>
  </si>
  <si>
    <t>Автономный ИИ-стример, который ведёт трансляции 24/7, модерирует чат и взаимодействует с аудиторией. Может использоваться в развлечениях, образовании и маркетинге.</t>
  </si>
  <si>
    <t>4be243cf-4d39-4c52-8739-a3d0439d95a8</t>
  </si>
  <si>
    <t>Проект Mindescape 3D</t>
  </si>
  <si>
    <t>Михайлов В.В.</t>
  </si>
  <si>
    <t>NLP, 3D</t>
  </si>
  <si>
    <t>Игра с ИИ-агентами в Minecraft, где персонажи взаимодействуют и ведут стримы. Объединяет игровой процесс и ИИ для нового пользовательского опыта.</t>
  </si>
  <si>
    <t>2359e77a-8a24-4b0e-9b01-7b24b2f77099</t>
  </si>
  <si>
    <t>Пайплайн синтеза данных в 3D-среде для дообучения нейроредактора изображений</t>
  </si>
  <si>
    <t>Федоров Г.А</t>
  </si>
  <si>
    <t>Computer Vision, 3D, Synthetic Data, Rendering, Image Editing, Fine-tuning</t>
  </si>
  <si>
    <t>Автоматизированный процесс генерации синтетических 3D-данных для обучения модели Malvina (нейроредактора GigaChat) выполнять сложные пространственные преобразования на изображениях. Проект закрывает пробел в отсутствии готовых пайплайнов для этой задачи и позволяет масштабируемо улучшать качество редактирования.</t>
  </si>
  <si>
    <t>b41a4b00-4d1b-45cd-8869-dd7d5e3e3f7f</t>
  </si>
  <si>
    <t>GenDraft3D</t>
  </si>
  <si>
    <t>Орлова А.Н</t>
  </si>
  <si>
    <t>Computer Vision, 3D</t>
  </si>
  <si>
    <t>Плагин для Unreal Engine, генерирующий 3D-ассеты по текстовому описанию в реальном времени. Помогает инди-разработчикам быстро прототипировать без навыков моделирования.</t>
  </si>
  <si>
    <t>4f3ef429-5a0b-4db6-bf13-487ef09b4fce</t>
  </si>
  <si>
    <t>Static Avatars</t>
  </si>
  <si>
    <t>Романенко Я.А</t>
  </si>
  <si>
    <t>Computer Vision, Avatars</t>
  </si>
  <si>
    <t>Создаёт фотореалистичные 3D-аватары для кино, игр и рекламы. Качество зависит от компенсации микродвижений.</t>
  </si>
  <si>
    <t>a81c6c15-9d53-469a-aeb9-5520fe034157</t>
  </si>
  <si>
    <t>AI Media Producer</t>
  </si>
  <si>
    <t>Айрапетов Т.Э., Мугайских С.В., Чупеев А.Д.</t>
  </si>
  <si>
    <t>Autonomous agents, NLP, Media</t>
  </si>
  <si>
    <t>Автоматически дорабатывает и контролирует качество генерируемого мультимедийного контента. Ускоряет творческий процесс за счёт анализа и улучшения промптов.</t>
  </si>
  <si>
    <t>7552ede6-b2bd-4513-95ef-73d153d69ebe</t>
  </si>
  <si>
    <t>Computer Vision Autolabeling</t>
  </si>
  <si>
    <t>Ефименко А.Д</t>
  </si>
  <si>
    <t>Computer Vision, Autolabeling, Dataset, Annotation, Active Learning</t>
  </si>
  <si>
    <t>Инструмент для автоматической или полуавтоматической разметки изображений, призванный сократить зависимость от дорогостоящей ручной разметки. Проект использует VLM-модели для ускорения процесса и предусматривает развитие в сторону поддержки специализированных задач и интеграции дополнительных моделей.</t>
  </si>
  <si>
    <t>c1b19ce1-869d-4866-8614-19d1f7200a4c</t>
  </si>
  <si>
    <t>MLизация игровых механик</t>
  </si>
  <si>
    <t>Лившиц Л.П., Щукин Н.Ю.</t>
  </si>
  <si>
    <t>ML, A/B testing, gamification</t>
  </si>
  <si>
    <t>Персонализирует игровые награды и предсказывает отток игроков для повышения LTV. Использует классические ML-модели с последующим переходом к RL/contextual bandits.</t>
  </si>
  <si>
    <t>0d6e20c2-79a5-4b25-a8c8-2eadec83a92a</t>
  </si>
  <si>
    <t>AI Singularity</t>
  </si>
  <si>
    <t>Пономарев А.С.</t>
  </si>
  <si>
    <t>NLP, LLM, Singularity, Alignment, Safety</t>
  </si>
  <si>
    <t>Помогает пользователям хранить и анализировать медицинскую историю. Предупреждает о рисках хронических заболеваний.</t>
  </si>
  <si>
    <t>658bc934-0fde-4cba-9ade-75a70154a371</t>
  </si>
  <si>
    <t>МРТ</t>
  </si>
  <si>
    <t>Миллер А.И., Аптуков М.И.</t>
  </si>
  <si>
    <t>Computer Vision, MRI, Medical</t>
  </si>
  <si>
    <t>Проект ускоряет реконструкцию МРТ-изображений, сокращая время сканирования и увеличивая пропускную способность клиник. Решение работает с DICOM-данными и не требует доступа к сырым k-space данным.</t>
  </si>
  <si>
    <t>570e4fc2-0074-46c2-b0e4-32c974af38c4</t>
  </si>
  <si>
    <t>SkinCare AI</t>
  </si>
  <si>
    <t>Кондауров В.В</t>
  </si>
  <si>
    <t>CV, Recsys, Analytics</t>
  </si>
  <si>
    <t>Анализирует фото кожи и рекомендует уходовую косметику под тип кожи и проблемы (акне, морщины и т.д.). Делает дерматологию доступнее.</t>
  </si>
  <si>
    <t>7f87d0b4-e543-4add-8c69-8459860dd4e8</t>
  </si>
  <si>
    <t>Применение LLM для автоматизации бизнес-процессов ПАО Норильский Никель</t>
  </si>
  <si>
    <t>Ильин Г., Поляков Е., Редько Д., Сухова Е.</t>
  </si>
  <si>
    <t>Industrial ML, RAG, NLP, Agents</t>
  </si>
  <si>
    <t>Автоматизирует рутинную обработку документов, снижая человеческие ошибки и затраты времени. Интегрируется в существующие бизнес-процессы.</t>
  </si>
  <si>
    <t>48082fd4-f932-4111-a29b-14370b2b4199</t>
  </si>
  <si>
    <t>Record Linkage: ML-система сопоставления каталогов</t>
  </si>
  <si>
    <t>Меньшиков И.В.</t>
  </si>
  <si>
    <t>Industrial ML, NLP, Matching</t>
  </si>
  <si>
    <t>Система автоматизирует сопоставление позиций между внутренним каталогом компании (200 тыс. записей) и каталогами поставщиков (800 тыс. записей) с помощью машинного обучения. Решение заменяет ручной труд, повышает точность матчинга и ускоряет закупочные процессы.</t>
  </si>
  <si>
    <t>885d248d-26c3-45ad-8ff3-f895eb024279</t>
  </si>
  <si>
    <t>Контур ИИ аналитика</t>
  </si>
  <si>
    <t>Аверченко М.А., Тихановский Д.А.</t>
  </si>
  <si>
    <t>Industrial ML, NLP, Analytics, MLOps</t>
  </si>
  <si>
    <t>Позволяет бизнес-пользователям получать SQL и данные через чат без знания схемы БД. Использует контекстно-осознанный RAG и векторный поиск по описаниям таблиц.</t>
  </si>
  <si>
    <t>e06952f6-197f-467a-9f1a-1ec332b9fb73</t>
  </si>
  <si>
    <t>NLP задачи в Мегафон</t>
  </si>
  <si>
    <t>Чернышев А.А</t>
  </si>
  <si>
    <t>Улучшает качество виртуальных операторов в колл-центрах Мегафона и Йоты. Повышает удовлетворённость клиентов и снижает время обработки.</t>
  </si>
  <si>
    <t>b0d6f3cd-957f-434e-93e3-7b5efa1183b9</t>
  </si>
  <si>
    <t>ScribeAI</t>
  </si>
  <si>
    <t>Харьковской Р.Р.</t>
  </si>
  <si>
    <t>CV, NLP, ASR</t>
  </si>
  <si>
    <t>Автоматически создаёт краткие и структурированные отчёты по бизнес-встречам. Заменяет сторонние решения внутри компании.</t>
  </si>
  <si>
    <t>ca246177-54ac-4b0f-9312-c876caba7039</t>
  </si>
  <si>
    <t>Платформа рантайм инференса векторных моделей</t>
  </si>
  <si>
    <t>Люльчак П.И.</t>
  </si>
  <si>
    <t>Recsys, ML, Inference, Platform</t>
  </si>
  <si>
    <t>Обеспечивает быстрый и воспроизводимый запуск A/B-тестов для ML-моделей. Сокращает время вывода моделей в продакшен и упрощает эксперименты.</t>
  </si>
  <si>
    <t>56277917-1459-4f42-a38f-5e287fc5167c</t>
  </si>
  <si>
    <t>Прокопий</t>
  </si>
  <si>
    <t>Половников Н.В., Попов В.Н., Руденко И.А., Черняков Н.Н.</t>
  </si>
  <si>
    <t>CV, NLP, agents</t>
  </si>
  <si>
    <t>Telegram-бот для визуального контроля деталей на производстве. Инженер фотографирует — бот даёт вердикт «годен/брак» с пояснением.</t>
  </si>
  <si>
    <t>b262b67e-2fc4-45ac-9a22-978c72187ec8</t>
  </si>
  <si>
    <t>Агролаб</t>
  </si>
  <si>
    <t>Григорьев И.М.</t>
  </si>
  <si>
    <t>CV, ML, Industry</t>
  </si>
  <si>
    <t>Мобильное приложение для фермеров: определяет болезни растений по фото. Помогает сохранить урожай, особенно начинающим аграриям.</t>
  </si>
  <si>
    <t>3b36180e-950e-4789-9fd2-bf1382e2129d</t>
  </si>
  <si>
    <t>NeonPay</t>
  </si>
  <si>
    <t>Матюшков А.Н., Кононенко Я.Д.</t>
  </si>
  <si>
    <t>Fintech, ML, Payments, Fraud</t>
  </si>
  <si>
    <t>Приложение, которое позволило бы всем владельцам криптовалюты оплачивать в физических магазинах без предварительного обмена активов в рубли.</t>
  </si>
  <si>
    <t>707dbb20-04ae-4aca-b280-d21c4f295f48</t>
  </si>
  <si>
    <t>VoxBud - личный оффлайн финансовый ассистент на базе ИИ</t>
  </si>
  <si>
    <t>Банников А.</t>
  </si>
  <si>
    <t>NLP, ML, Fintech, Offline, Assistant</t>
  </si>
  <si>
    <t>Локальный ИИ-ассистент для ведения личного бюджета без интернета. Анализирует транзакции и даёт персонализированные рекомендации.</t>
  </si>
  <si>
    <t>e57150a6-7a84-43fa-8fff-5a2c8c03ecd1</t>
  </si>
  <si>
    <t>Adaptive Assessment Engine: система генерации, валидации и динамической оценки знаний</t>
  </si>
  <si>
    <t>Чангалиди А.И.</t>
  </si>
  <si>
    <t>Fintech, ML, NLP, Assessment</t>
  </si>
  <si>
    <t>Система адаптивно тестирует знания студентов, строя дерево вопросов до границы понимания. Решение устойчиво к списыванию даже с использованием LLM.</t>
  </si>
  <si>
    <t>33846c37-d338-4417-9050-69b88cedf8b3</t>
  </si>
  <si>
    <t>Doobучение VLM под задачу KIE на банковских документах</t>
  </si>
  <si>
    <t>Иванов М.А.</t>
  </si>
  <si>
    <t>Fintech, ML, CV, VLM, KIE</t>
  </si>
  <si>
    <t>3021dcf4-32f0-4420-8afa-5efe0f3c3e63</t>
  </si>
  <si>
    <t>Индивидуальное ценообразование вкладов</t>
  </si>
  <si>
    <t>Тимофеев В.Д</t>
  </si>
  <si>
    <t>ML, Fintech, Pricing, Deposits</t>
  </si>
  <si>
    <t>Формирует персонализированные условия по вкладам на основе поведения и профиля клиента. Повышает лояльность и финансовый результат банка.</t>
  </si>
  <si>
    <t>66f86ae5-4a77-49ff-b3ca-8e8048aaf26b</t>
  </si>
  <si>
    <t>Развитие розничного моделирования в ПАО Газпромбанк</t>
  </si>
  <si>
    <t>Романов Е.В.</t>
  </si>
  <si>
    <t>Fintech, ML, Retail, Modeling, MLOps</t>
  </si>
  <si>
    <t>Проект по созданию и внедрению ML-моделей для персонализации взаимодействия с розничными клиентами: прогноз оттока, рекомендация следующего продукта (NBO), реактивация, аплифт-маркетинг и управление лояльностью. Решение повышает эффективность маркетинга, снижает затраты и масштабируется на всю клиентскую базу банка.</t>
  </si>
  <si>
    <t>75921f09-c87b-40a9-934f-b195038867a3</t>
  </si>
  <si>
    <t>Цифровая бухгалтерия</t>
  </si>
  <si>
    <t>Данилаева С.Д.</t>
  </si>
  <si>
    <t>Fintech, ML, Accounting, Automation, Compliance</t>
  </si>
  <si>
    <t>Автоматизирует обработку финансовых документов без текстового слоя. Сокращает время обработки с 15 минут до 1.</t>
  </si>
  <si>
    <t>1bdade8d-7b7e-485f-aa69-7ed45b44e430</t>
  </si>
  <si>
    <t>ИИ Таможенный Декларант</t>
  </si>
  <si>
    <t>Лукин С.О.</t>
  </si>
  <si>
    <t>AI, NLP, RegTech, Compliance</t>
  </si>
  <si>
    <t>Автоматизирует заполнение таможенных деклараций на основе сканов документов. Сокращает время оформления и снижает человеческие ошибки.</t>
  </si>
  <si>
    <t>a07b35b8-cec0-49b0-849c-53a4c9d80a12</t>
  </si>
  <si>
    <t>Мультимодальная система оценки рисков финансовых организаций (SupTech Risk Radar)</t>
  </si>
  <si>
    <t>Мурзаев Н.И.</t>
  </si>
  <si>
    <t>Recsys, time-series, fintech, risk</t>
  </si>
  <si>
    <t>ИИ-система, которая анализирует разнородные данные (тексты, финансовые отчёты, новости, регуляторные документы) для раннего выявления рисков у банков и других финансовых институтов.</t>
  </si>
  <si>
    <t>a34c37b7-384d-4850-b8b9-e3412da0e4cf</t>
  </si>
  <si>
    <t>Gradient</t>
  </si>
  <si>
    <t>Полежаев Ф.М.</t>
  </si>
  <si>
    <t>Time-series, Reinforcement-learning, Science, Industrial-ML</t>
  </si>
  <si>
    <t>Проект по оптимальному предоставлению ликвидности на децентрализованных финансовых (DeFi) рынках с использованием L4-данных участников торгов и учётом особенностей DEX. Решение направлено на повышение эффективности в ещё слабо конкурентной и неэффективной DeFi-среде, но ограничено текущей ёмкостью рынков и требует оптимизации скорости исполнения.</t>
  </si>
  <si>
    <t>977e1847-974e-4e2b-ba8b-0ed8adc334be</t>
  </si>
  <si>
    <t>GranTutor: LLM-система калибровки экспертизы</t>
  </si>
  <si>
    <t>Варапаев Э.Р., Четвергов А.С., Шарафетдинов Р.С.</t>
  </si>
  <si>
    <t>LLM, NLP, Recsys</t>
  </si>
  <si>
    <t>Автоматизирует оценку грантовых заявок: анализирует качество комментариев экспертов, выявляет «красные флаги» и калибрует их работу. Повышает прозрачность и эффективность распределения средств.</t>
  </si>
  <si>
    <t>97e82b03-c843-4fd6-a9f6-4d4f6a0bca0b</t>
  </si>
  <si>
    <t>Доработка мультиагентной LLM системы для работы с промышленными данными</t>
  </si>
  <si>
    <t>Дипнер С.П</t>
  </si>
  <si>
    <t>Industrial ML, Time series</t>
  </si>
  <si>
    <t>Прогнозирует отказы оборудования на основе временных рядов. Помогает переходить от планового ремонта к обслуживанию по состоянию.</t>
  </si>
  <si>
    <t>e0905bed-0b2d-4165-8ad3-e84c8d02704e</t>
  </si>
  <si>
    <t>ИИ-ассистент для фермеров</t>
  </si>
  <si>
    <t>Розанов К.А.</t>
  </si>
  <si>
    <t>RAG, Agents, MCP</t>
  </si>
  <si>
    <t>Агрегирует данные (метео, спутник, рынок) и даёт рекомендации по срокам работ, выбору культур и рискам. Снижает издержки и повышает прозрачность решений.</t>
  </si>
  <si>
    <t>2fd899ee-452d-42d3-9021-7cdea9bdd036</t>
  </si>
  <si>
    <t>AI-навигация по строительному объекту</t>
  </si>
  <si>
    <t>Пшеничников А.С</t>
  </si>
  <si>
    <t>Строит маршрут по объекту на основе 360°-видео и сравнивает с планом. Автоматически фиксирует изменения и нарушения.</t>
  </si>
  <si>
    <t>ab6bdb70-8bbe-4968-a120-b5f2ea6b6c9c</t>
  </si>
  <si>
    <t>Автономная LLM-система верифицируемого знания</t>
  </si>
  <si>
    <t>Боев С.С., Матвиенко Д.В., Сабиров С.Т.</t>
  </si>
  <si>
    <t>Autonomous agents, NLP, Verification, Knowledge</t>
  </si>
  <si>
    <t>Локально развернутый чат-бот по внутренней технической документации, который отвечает на запросы с цитированием источников, обеспечивая безопасность, прозрачность и соответствие требованиям NDA. Система автоматически синхронизирует векторную базу с обновлениями в репозиториях и может в будущем эволюционировать в агентскую платформу для выполнения операций по инструкциям.</t>
  </si>
  <si>
    <t>0b776672-daaa-45f2-89da-b4c4aedfa1f6</t>
  </si>
  <si>
    <t>Productive Social</t>
  </si>
  <si>
    <t>Миамбо Ж.Р.</t>
  </si>
  <si>
    <t>Fintech, ML, Social, Personalization, Privacy</t>
  </si>
  <si>
    <t>Доклад посвящен тому, как применить машинное обучение в финтехе для создания «продуктивного» социального слоя вокруг финансовых продуктов. Разберем, какие данные о поведении пользователей и транзакциях можно безопасно использовать, чтобы персонализировать рекомендации, цели накоплений и сценарии управления бюджетом. Поговорим о моделях, которые помогают повышать вовлеченность без манипуляций: от сегментации и ранжирования до предсказания оттока и выявления мошеннических паттернов в социальных механиках. Отдельно затронем вопросы приватности, комплаенса и интерпретируемости, чтобы ML-решения можно было внедрять в реальном банке или финтех-приложении. В конце — практические метрики эффективности и типовые ошибки при запуске таких функций в продакшене.</t>
  </si>
  <si>
    <t>7102c089-6b72-4eaa-9f51-a2e4e9dd6504</t>
  </si>
  <si>
    <t>HandMarket</t>
  </si>
  <si>
    <t>Макаров И.Ю.</t>
  </si>
  <si>
    <t>Recsys, NLP</t>
  </si>
  <si>
    <t>B2B-платформа для производителей ручной кондитерской продукции, объединяющая автоматизацию заказов, расширение клиентской базы и юридическую поддержку для выхода на «белый» рынок, что делает её уникальной на фоне отсутствия прямых конкурентов.</t>
  </si>
  <si>
    <t>ecc09a02-0089-433c-9b9b-2b95c9547e3c</t>
  </si>
  <si>
    <t>Поисковый ассистент для фармацевтического ритейла</t>
  </si>
  <si>
    <t>Пчельникова Е.С.</t>
  </si>
  <si>
    <t>Autonomous agents</t>
  </si>
  <si>
    <t>Проект разрабатывает LLM-ассистента для точного поиска лекарств в фармацевтическом ритейле, учитывающего симптомы, действующие вещества и неточные запросы — уже внедрён в продакшен и направлен на рост конверсии и снижение нагрузки на консультантов.</t>
  </si>
  <si>
    <t>424459a1-26d0-41d1-ad62-c047fedc8b40</t>
  </si>
  <si>
    <t>Biogotchi</t>
  </si>
  <si>
    <t>Батраков С.В.</t>
  </si>
  <si>
    <t>MedTech</t>
  </si>
  <si>
    <t>Цифровой персональный аватар, моделирующий влияние образа жизни на старение и здоровье человека, с целью мотивировать пользователей к проактивной диагностике и улучшению качества жизни. Проект запущен как интерактивный тест на сайте Genotek и в перспективе развивается в полноценную платформу с интеграцией данных с носимых устройств и лабораторных анализов.</t>
  </si>
  <si>
    <t>a658c594-4481-46a0-8cba-00d05e6d10d5</t>
  </si>
  <si>
    <t>Автоматическое селф-ревью студенческих проектов</t>
  </si>
  <si>
    <t>Дойников А.В</t>
  </si>
  <si>
    <t>Проект использует LLM для автоматического ревью студенческих кодовых проектов с целью снижения затрат на проверку, сравнивая качество ИИ-оценки с человеческим ревью при жёстком ограничении стоимости (~100–200 руб. за запрос).</t>
  </si>
  <si>
    <t>96b29bb7-d08d-41a9-a649-0f1f42fe3748</t>
  </si>
  <si>
    <t>Проверка заданий 2 части ЕГЭ с помощью LLM</t>
  </si>
  <si>
    <t>Лопатин М.А.</t>
  </si>
  <si>
    <t>Проект использует большие языковые модели (LLM) для автоматической проверки развёрнутых ответов второй части ЕГЭ, обеспечивая быструю и объективную оценку в соответствии с критериями ФИПИ.</t>
  </si>
  <si>
    <t>66fb487a-054e-4e14-bd65-857e9c420af2</t>
  </si>
  <si>
    <t>Матчинг адресов</t>
  </si>
  <si>
    <t>Вегера Д.А.</t>
  </si>
  <si>
    <t>NLP, ML</t>
  </si>
  <si>
    <t>Проект автоматизирует сопоставление и коррекцию адресов в банковских системах, обеспечивая их корректное хранение и снижая ошибки, возникающие при ручном вводе.</t>
  </si>
  <si>
    <t>d008032d-371d-4b66-94b5-a43a582d07c7</t>
  </si>
  <si>
    <t>Галка</t>
  </si>
  <si>
    <t>Безуглова Е.Д.</t>
  </si>
  <si>
    <t>Генерирует контент-планы и посты для соцсетей на основе анализа конкурентов и трендов. Заменяет целый отдел маркетинга для малого бизнеса.</t>
  </si>
  <si>
    <t>9562d347-e362-4bd5-ba27-c859f5feca30</t>
  </si>
  <si>
    <t>Умный генератор коммерческих предложений</t>
  </si>
  <si>
    <t>Новиков Т.В.</t>
  </si>
  <si>
    <t>Проект разрабатывает умный генератор коммерческих предложений на основе LLM, который автоматически обрабатывает входящие заявки в любом формате (включая сканы и PDF), извлекает ключевые параметры с помощью OCR и ИИ, и формирует готовое КП в Excel/PDF — полностью без участия менеджера. Решение направлено на полную автоматизацию рутинного процесса подготовки коммерческих предложений в B2B-среде.</t>
  </si>
  <si>
    <t>aa4bd07a-fa26-49b8-ab90-2624b3579812</t>
  </si>
  <si>
    <t>Голосовой тренажер для операторов поддержки</t>
  </si>
  <si>
    <t>Дувакин К.Б., Койфман Д.Э., Решетняк А.А.</t>
  </si>
  <si>
    <t>NLP, Speech, ML</t>
  </si>
  <si>
    <t>Проект представляет собой голосовой тренажёр для операторов поддержки, использующий open-source STT, LLM и TTS для создания реалистичных диалогов с «клиентами-ботами» разного характера — без применения сторонних API. Решение ускоряет обучение, снижает затраты и повышает удержание клиентов, легко масштабируясь на другие профессии и сценарии.</t>
  </si>
  <si>
    <t>70bc1e49-17b3-4dab-8a36-84c0ea0b393d</t>
  </si>
  <si>
    <t>Desa Identity</t>
  </si>
  <si>
    <t>Моисеенков В.Ю.</t>
  </si>
  <si>
    <t>IAM, Security, Identity, LLM, Access</t>
  </si>
  <si>
    <t>IAM-решение для малого и среднего бизнеса, разработанное с учётом требований российского рынка и ориентированное на автоматизацию управления учётными записями без хранения персональных данных, с возможностью развёртывания как on-premise, так и в SaaS. Проект отвечает растущему спросу на защиту от фишинга и социальной инженерии, предлагая альтернативу дорогим международным системам.</t>
  </si>
  <si>
    <t>2338f2e9-b5a5-41c0-8ee4-30c57ae3221f</t>
  </si>
  <si>
    <t>Интеллектуальная автоматизация ETL и визуализации</t>
  </si>
  <si>
    <t>Заводов А.В.</t>
  </si>
  <si>
    <t>NLP, agents, ETL, visualization, automation</t>
  </si>
  <si>
    <t>Использует мультиагентные LLM-системы для автоматического создания и проверки ETL-пайплайнов. Снижает ручной труд и ошибки.</t>
  </si>
  <si>
    <t>6899f31f-32cf-45dd-bb50-fabe0fc43394</t>
  </si>
  <si>
    <t>Рекомендательная система докладов для JUG</t>
  </si>
  <si>
    <t>Юдина Ю.А., Струков А.П., Пивнев И.А.</t>
  </si>
  <si>
    <t>NLP, Recommender, Embeddings</t>
  </si>
  <si>
    <t>Персонализирует подбор докладов на IT-конференциях через онбординг-бота и reranking. Повышает NPS и равномерность заполняемости залов.</t>
  </si>
  <si>
    <t>fd00c8cb-4bc6-44cc-aec8-440e3dcaf205</t>
  </si>
  <si>
    <t>Сервис интеллектуального поиска по строительной документации</t>
  </si>
  <si>
    <t>Лаптев А.В., Малбашич Д.Г.</t>
  </si>
  <si>
    <t>OCR, LLM, Search, Construction</t>
  </si>
  <si>
    <t>Проект разрабатывает сервис интеллектуального поиска по строительной и юридической документации (включая PDF, DOCX и сканы) для ООО «Джемини Софт», объединяя RAG, гибридный поиск, OCR и голосовой ввод в единый MVP. Решение сокращает время поиска информации с часов до секунд, повышая операционную эффективность и готовое к масштабированию за счёт микросервисной архитектуры.</t>
  </si>
  <si>
    <t>50b98ab2-0c7b-4dd0-861f-10f11f480fbd</t>
  </si>
  <si>
    <t>Memorix</t>
  </si>
  <si>
    <t>Павлов И.В.</t>
  </si>
  <si>
    <t>Платформа для автоматического создания онлайн-курсов: от материалов автора до LMS, тестов и персонализации. Экономит время экспертов и ускоряет монетизацию знаний.</t>
  </si>
  <si>
    <t>b14d42fa-db81-41e2-960a-c931bbca7fe0</t>
  </si>
  <si>
    <t>Adapstory</t>
  </si>
  <si>
    <t>Ожаховская Т.И., Нигамадянов Ф.М., Бокарев С.М.</t>
  </si>
  <si>
    <t>EdTech, Adaptive, Learning, Storytelling, Personalization, Analytics</t>
  </si>
  <si>
    <t>Конструктор персонализированных обучающих сценариев с доставкой в мессенджеры. ИИ-ассистент адаптирует контент под ученика и повышает завершаемость курсов.</t>
  </si>
  <si>
    <t>25bacf8c-8657-412a-9996-929be594c4c3</t>
  </si>
  <si>
    <t>Text2SQL ассистент для аналитики</t>
  </si>
  <si>
    <t>Куляскин М.О</t>
  </si>
  <si>
    <t>NLP, Text2SQL, Analytics, SQL</t>
  </si>
  <si>
    <t>f36406ad-de2d-4f42-a8a5-4b83101eb3b7</t>
  </si>
  <si>
    <t>AgentArea</t>
  </si>
  <si>
    <t>Астапенко А.О</t>
  </si>
  <si>
    <t>79394990-7bcc-4f7e-8e9a-f3aa34aaf46e</t>
  </si>
  <si>
    <t>MediaTracking</t>
  </si>
  <si>
    <t>Сенин А.М., Тепляков Н.А., Серов С.Ю.</t>
  </si>
  <si>
    <t>Backend, NLP, Monitoring, Analytics</t>
  </si>
  <si>
    <t>Автоматически отслеживает медиатренды в Telegram и других источниках в реальном времени. Сокращает время поиска инфоповодов с часов до минут.</t>
  </si>
  <si>
    <t>c922dc06-c8a5-4c53-99db-f7921e4cd7e3</t>
  </si>
  <si>
    <t>Помощник оператора call-центра</t>
  </si>
  <si>
    <t>Курченко М.А., Федоров М.М.</t>
  </si>
  <si>
    <t>ASR, RAG, LLM</t>
  </si>
  <si>
    <t>В реальном времени подсказывает оператору ответы на основе регламентов и скриптов. Сокращает время обработки обращений.</t>
  </si>
  <si>
    <t>a24de2ba-5e51-44fc-a517-ba2d8e792905</t>
  </si>
  <si>
    <t>MODERA FASHION</t>
  </si>
  <si>
    <t>Бодров Е.А., Оноре Г.С.</t>
  </si>
  <si>
    <t>CV, NLP, Agents, Fashion</t>
  </si>
  <si>
    <t>Виртуальная примерочная + AI-стилист для снижения возвратов в онлайн-ритейле. Позволяет точно подбирать одежду под фигуру и стиль, экономя логистику.</t>
  </si>
  <si>
    <t>756ee48e-d5b1-45f9-95cd-00c0aad1a931</t>
  </si>
  <si>
    <t>AIDA (AI Dialog Assistant)</t>
  </si>
  <si>
    <t>Иванов А.А</t>
  </si>
  <si>
    <t>NLP, Dialog, Assistant, LLM, Evaluation</t>
  </si>
  <si>
    <t>Автоматизирует обработку интервью с клиентами: парсинг, кросс-анализ, матрица гипотез. Сокращает время анализа в 5 раз.</t>
  </si>
  <si>
    <t>bdefc5d2-c922-4799-95c9-ecc412d667c0</t>
  </si>
  <si>
    <t>HiveTrace - система мониторинга LLM-приложений</t>
  </si>
  <si>
    <t>Тищенко А.А., Минко Б.С.</t>
  </si>
  <si>
    <t>Industrial ML, NLP, Agents</t>
  </si>
  <si>
    <t>Платформа мониторинга и защиты LLM-приложений: детекция утечек PII, атак и аномалий. Обеспечивает безопасность и соответствие требованиям регуляторов.</t>
  </si>
  <si>
    <t>a02fc1ee-7e2f-4ead-81c0-0e91b37fea75</t>
  </si>
  <si>
    <t>LOOQS AI</t>
  </si>
  <si>
    <t>Хажиев Р.Р., Барабанщиков Л.</t>
  </si>
  <si>
    <t>CV, NLP, AI, Multimodal, Search</t>
  </si>
  <si>
    <t>Генеративный ИИ-стилист, который подбирает персонализированные аутфиты по фото или запросу, решая проблему перегрузки выбором в e-commerce и повышая конверсию за счёт стилистической сочетаемости, а не просто поиска.</t>
  </si>
  <si>
    <t>5f9a6e03-84be-42c4-989b-e99e74d8e0e9</t>
  </si>
  <si>
    <t>AI Sport Support</t>
  </si>
  <si>
    <t>Конева А.Р.</t>
  </si>
  <si>
    <t>CV</t>
  </si>
  <si>
    <t>Анализирует технику фигуристов по видео и даёт оценку по правилам ISU. Делает тренировки доступнее и объективнее.</t>
  </si>
  <si>
    <t>38863e6f-a341-4e14-a5e2-87c3f5923091</t>
  </si>
  <si>
    <t>Разработка комплекса моделей для прогнозирования гололёдных явлений</t>
  </si>
  <si>
    <t>Сажин Б.О.</t>
  </si>
  <si>
    <t>Industrial ML, Forecasting, Weather, Icing</t>
  </si>
  <si>
    <t>Прогнозирует риск обледенения ЛЭП без датчиков, используя только метеоданные. Помогает энергокомпаниям предотвращать аварии и простои.</t>
  </si>
  <si>
    <t>428750b4-1e3a-462f-a736-7559c955874d</t>
  </si>
  <si>
    <t>koteln(ai)a</t>
  </si>
  <si>
    <t>Шишкин П.Е.</t>
  </si>
  <si>
    <t>Time-series, Reinforcement, Science, Industrial</t>
  </si>
  <si>
    <t>Проект направлен на разработку ML-решения для оптимизации работы котлоагрегатов.</t>
  </si>
  <si>
    <t>34ff6a22-6b9b-49de-ae23-133c4dd28108</t>
  </si>
  <si>
    <t>AI-ассистент для аварийного обслуживания оборудования</t>
  </si>
  <si>
    <t>Горшкова Ю.А., Дубенский А.Ю., Рассинин М.В.</t>
  </si>
  <si>
    <t>CV, NLP</t>
  </si>
  <si>
    <t>Отвечает на вопросы по устранению неисправностей оборудования, используя базу технических мануалов. Сокращает время простоя производства.</t>
  </si>
  <si>
    <t>3328e55c-7b0f-478a-bba6-5611d43c94ad</t>
  </si>
  <si>
    <t>Retopoflow - ретопология 3d моделей на основе ИИ</t>
  </si>
  <si>
    <t>Ширшов Д.Э.</t>
  </si>
  <si>
    <t>AI, retopology, 3D, agents</t>
  </si>
  <si>
    <t>Автоматизирует ретопологию 3D-моделей через оркестрацию мультимодальных ИИ-агентов. Сокращает трудозатраты художников на 10–30%.</t>
  </si>
  <si>
    <t>617dd5b7-581a-48c9-bf48-783b3c1e710d</t>
  </si>
  <si>
    <t>Biogotchi x Genotek</t>
  </si>
  <si>
    <t>Смирнов И.С.</t>
  </si>
  <si>
    <t>LifeScience, ML, Genomics, Biotech, Personalization</t>
  </si>
  <si>
    <t>Цифровой «биологический возраст» пользователя в виде аватара мотивирует следить за здоровьем и повышает вовлечённость в сервисы Genotek. Геймификация сочетается с прогнозированием рисков на основе биомаркеров.</t>
  </si>
  <si>
    <t>18744af1-d7bd-4508-ad1a-2e2f3afb96cc</t>
  </si>
  <si>
    <t>Страновые рейтинги</t>
  </si>
  <si>
    <t>Шалашов А.А.</t>
  </si>
  <si>
    <t>Fintech, ML, Ratings, Risk</t>
  </si>
  <si>
    <t>Строит интерпретируемую модель кредитного риска стран, независимую от международных агентств. Использует каскад линейных моделей и продвинутый feature engineering.</t>
  </si>
  <si>
    <t>002dc769-f3f1-4df0-b0e5-fc07ae6955c7</t>
  </si>
  <si>
    <t>GigaSchool проект</t>
  </si>
  <si>
    <t>Легранд И.А</t>
  </si>
  <si>
    <t>NLP, Education, Personalization, Search, Classification</t>
  </si>
  <si>
    <t>Автоматизирует диагностику и знакомство с учеником в образовательном процессе. Находится на стадии MVP.</t>
  </si>
  <si>
    <t>12a08201-2b11-48ea-8b4b-5864341f5ab5</t>
  </si>
  <si>
    <t>Manuspect Briefing Platform</t>
  </si>
  <si>
    <t>Зайченко Д.Д., Захаров Д.А., Закиров Т.А., Сухов А.А.</t>
  </si>
  <si>
    <t>Анализирует звонки в продажах, выявляет лучшие практики и даёт персонализированные рекомендации менеджерам. Повышает конверсию и ускоряет онбординг.</t>
  </si>
  <si>
    <t>80385980-31c7-4de8-8287-826ddaa357e3</t>
  </si>
  <si>
    <t>Manuspect</t>
  </si>
  <si>
    <t>Евтушенко В.Н., Кирдяшкин М.А., Обласов С.В., Сухов А.А., Сахневич К.Р.</t>
  </si>
  <si>
    <t>NLP, agents, speech</t>
  </si>
  <si>
    <t>Анализирует переговоры и операционные процессы, выявляя лучшие практики и точки роста. Даёт конкретные рекомендации с прогнозом эффекта (например, +15% конверсии).</t>
  </si>
  <si>
    <t>62c702f3-09f1-440e-902c-c8d7b6634692</t>
  </si>
  <si>
    <t>SampleAI</t>
  </si>
  <si>
    <t>Дорошкевич А.Н.</t>
  </si>
  <si>
    <t>AI, music, separation, transcription</t>
  </si>
  <si>
    <t>Разработка прототипа сервиса Sample для разделения музыки на инструменты.</t>
  </si>
  <si>
    <t>b8828735-ec4c-49fd-aa31-eb5e99bc7c3d</t>
  </si>
  <si>
    <t>GoalMate</t>
  </si>
  <si>
    <t>Нилова Ю.В., Бегушева Э.У.</t>
  </si>
  <si>
    <t>AI-коуч, который помогает формулировать цели на основе личных ценностей, а не давления. Борется с прокрастинацией и выгоранием через осмысленное планирование.</t>
  </si>
  <si>
    <t>3584829f-0225-4b76-ab26-a6737536f516</t>
  </si>
  <si>
    <t>AutoCV</t>
  </si>
  <si>
    <t>Макаров М.В</t>
  </si>
  <si>
    <t>Система детекции объектов на дороге, позволяющая в режиме реального времени обнаруживать различные классы объектов: марка автомобиля, гос. знак, водителя, тип кузова, модель, цвет автомобиля. Требования - NVIDIA Jetson</t>
  </si>
  <si>
    <t>cb773ca5-a95f-4c4c-8f76-1c944436e7d0</t>
  </si>
  <si>
    <t>Контур ИИ аналитик</t>
  </si>
  <si>
    <t>Захаров Н.</t>
  </si>
  <si>
    <t>35c09bfd-216c-4104-859b-0d650f891548</t>
  </si>
  <si>
    <t>Нить</t>
  </si>
  <si>
    <t>Гапеева А.В., Фирсанов Г.А.</t>
  </si>
  <si>
    <t>Извлекает задачи, ответственных и дедлайны из рабочих чатов (Telegram, Slack). Предотвращает потерю информации и автоматизирует учёт дел.</t>
  </si>
  <si>
    <t>070ac77d-8d93-4ccf-ab4f-7f6ebb873578</t>
  </si>
  <si>
    <t>EIDOS</t>
  </si>
  <si>
    <t>Масленникова Т.М.</t>
  </si>
  <si>
    <t>Платформа для разработки, созданная разработчиками для разработчиков, позволяет делать мобильные и веб-приложения в 3 раза быстрее и на 40–60% дешевле за счёт no-code-вёрстки, визуализации репозитория и агентской системы на базе ИИ.</t>
  </si>
  <si>
    <t>db9e14cc-b26c-4a79-a17f-34e1326997ed</t>
  </si>
  <si>
    <t>PsyGhost</t>
  </si>
  <si>
    <t>Григорьева Д.</t>
  </si>
  <si>
    <t>NLP, Reinforcement</t>
  </si>
  <si>
    <t>ИИ-ассистент для поколения Z, проводящий когнитивно-поведенческую и парную терапию без участия человека. Решает проблему нехватки времени на психолога и снижает барьер обращения за помощью.</t>
  </si>
  <si>
    <t>07ea01a6-da59-46c1-8149-65143176f040</t>
  </si>
  <si>
    <t>HART</t>
  </si>
  <si>
    <t>Кушнир А.А</t>
  </si>
  <si>
    <t>NLP, agents, autonomy</t>
  </si>
  <si>
    <t>Цифровой сервис проактивного здоровья: формирует персональный план обследований и напоминает о действиях. Объединяет данные, контекст, мотивацию и медицинские рекомендации.</t>
  </si>
  <si>
    <t>2e815a53-b458-4745-91fc-447852262a7c</t>
  </si>
  <si>
    <t>Predisense - ИИ-аналитик трендов для Wildberries</t>
  </si>
  <si>
    <t>Поляков Э.Д.</t>
  </si>
  <si>
    <t>NLP, agents, trends, ecommerce, forecasting</t>
  </si>
  <si>
    <t>0f11dcd1-6f68-4810-b82c-55ffc9a3db43</t>
  </si>
  <si>
    <t>ReqAssist</t>
  </si>
  <si>
    <t>Бутомов А.С.</t>
  </si>
  <si>
    <t>Решение для автоматизации создания и валидации функциональных требований на основе GigaChat, сокращающее время аналитиков в 3–5 раз и интегрируемое в Confluence, Jira и другие корпоративные системы.</t>
  </si>
  <si>
    <t>4b704bb9-7703-4cf3-bd41-292eea55a5b7</t>
  </si>
  <si>
    <t>SocraticMath</t>
  </si>
  <si>
    <t>Савелко Д.А.</t>
  </si>
  <si>
    <t>Autonomous agents, Tutoring, Math, LLM</t>
  </si>
  <si>
    <t>Обучает математике через сократовский метод: задаёт наводящие вопросы, а не даёт готовый ответ. Помогает понять, где ошибка.</t>
  </si>
  <si>
    <t>613385f7-eff2-434d-af0c-c5a22af56501</t>
  </si>
  <si>
    <t>TOPIK Master</t>
  </si>
  <si>
    <t>Бутаков М.П.</t>
  </si>
  <si>
    <t>Приложение для подготовки к экзамену TOPIK (Test of Proficiency in Korean), необходимому для учёбы, работы и легализации в Южной Корее, на фоне растущего спроса со стороны иностранцев и слабой конкуренции на рынке обучающих решений.</t>
  </si>
  <si>
    <t>b12f83ea-42d4-42e7-9967-e4a59ea81324</t>
  </si>
  <si>
    <t>SYNTERA</t>
  </si>
  <si>
    <t>Адамов М.С.</t>
  </si>
  <si>
    <t>Проект SYNTERA разрабатывает агентную ИИ-систему для анализа нормативных актов, кадровых трендов и стратегических документов</t>
  </si>
  <si>
    <t>34a00afd-aff8-4344-8fdd-39b7625faf22</t>
  </si>
  <si>
    <t>AIDI</t>
  </si>
  <si>
    <t>Аланова Ш.А., Волосников К.Д., Босина А.В.</t>
  </si>
  <si>
    <t>Проект AIDI создаёт мультитенантного диалект-осведомлённого AI-аватара для компаний MENA-региона, сочетающего RAG по внутренним документам, поддержку местных арабских диалектов и синтез речи/видео — всё это в единой SaaS-платформе для автоматизации поддержки и продаж.</t>
  </si>
  <si>
    <t>31998789-7b6b-4538-994e-26b39e851174</t>
  </si>
  <si>
    <t>GenomeAI</t>
  </si>
  <si>
    <t>Вишняков Д.И., Цой Н., Ворсин Е.Д., Жиров А.В.</t>
  </si>
  <si>
    <t>BioML, Recsys, NLP, Agents</t>
  </si>
  <si>
    <t>No-code платформа для запуска геномных анализов (NGS) без программирования. Позволяет биологам и врачам получать отчёты «от FASTQ до VCF».</t>
  </si>
  <si>
    <t>3580b702-e657-477a-94b5-50ef0b5ca646</t>
  </si>
  <si>
    <t>Разработка интеллектуального ассистента курса «Информационный поиск»</t>
  </si>
  <si>
    <t>Смаков Д.Д</t>
  </si>
  <si>
    <t>Recsys / предиктивная аналитика</t>
  </si>
  <si>
    <t>В докладе расскажем о создании интеллектуального ассистента для учебного курса «Информационный поиск», который помогает студентам разбираться в материалах, находить ответы и получать персональные подсказки по заданиям. Разберем, как из контента курса и истории взаимодействий формируется база знаний и сигналы для рекомендаций. Покажем, какие модели и признаки используются для предиктивной аналитики: прогноз сложности тем, вероятности ошибок и риска «отвалиться» от курса. Обсудим рекомендательные сценарии — от подбора следующих лекций и практик до выдачи релевантных примеров и напоминаний. Отдельно затронем оценку качества: офлайн-метрики, A/B‑эксперименты и контроль галлюцинаций/ошибочных советов. Завершим практическими выводами о том, как встроить ассистента в образовательный процесс и масштабировать решение на другие курсы.</t>
  </si>
  <si>
    <t>aeb503db-277d-449d-80c1-38afb19e36f7</t>
  </si>
  <si>
    <t>Персонализированное ранжирование каталога для мобильного приложения доставки еды «Много Лосося»</t>
  </si>
  <si>
    <t>Гулько М.И, Гумаров А.А</t>
  </si>
  <si>
    <t>Edtech</t>
  </si>
  <si>
    <t>В докладе расскажем, как мы построили персонализированное ранжирование каталога в мобильном приложении доставки еды «Много Лосося», чтобы пользователи быстрее находили подходящие блюда и чаще оформляли заказ. Разберем, какие сигналы поведения и контекста использовали, как формировали фичи и обучали модель ранжирования с учетом ограничений реального продакшена. Покажем, как организовали онлайн-эксперименты и оценивали эффект: конверсию, средний чек, время до добавления в корзину и удержание. Отдельно обсудим инженерную часть: архитектуру сервиса, интеграцию с мобильным клиентом, кэширование и требования к задержкам. Затронем вопросы холодного старта, деградации качества и защиту от «пузырей фильтров», чтобы каталог оставался разнообразным и полезным. В конце поделимся практическими выводами и чек-листом внедрения персонализации в каталоге без потери стабильности продукта.</t>
  </si>
  <si>
    <t>03220496-cbaf-4a8f-9a86-8bd88852175d</t>
  </si>
  <si>
    <t>NastavnikAI — платформа персонализированного адаптивного обучения</t>
  </si>
  <si>
    <t>Смекалова А.А</t>
  </si>
  <si>
    <t>В докладе расскажем о NastavnikAI — платформе, которая подстраивает обучение под цели, уровень и темп каждого ученика. Покажем, как с помощью NLP система анализирует ответы и тексты, выявляет пробелы в знаниях и формирует индивидуальную траекторию: от подбора материалов до генерации упражнений и подсказок. Обсудим архитектуру решения, ключевые модели и данные, а также способы оценивать прогресс и качество рекомендаций. Отдельно затронем вопросы надежности: как снижать галлюцинации, обеспечивать проверяемость контента и защищать персональные данные. Завершим практическими кейсами внедрения в образовательные продукты и метриками, которые подтверждают рост вовлеченности и результатов обучения.</t>
  </si>
  <si>
    <t>3ff0046d-3368-46ce-bf45-23618d7dd9b0</t>
  </si>
  <si>
    <t>Edu AI Hub</t>
  </si>
  <si>
    <t>Жигачёв Е.А</t>
  </si>
  <si>
    <t>NLP Автономные агенты</t>
  </si>
  <si>
    <t>Edu AI Hub — это платформа для внедрения ИИ в образовательные продукты и процессы, объединяющая NLP‑модули и автономных агентов. В докладе разберем, как агенты могут брать на себя цепочки задач: от анализа учебных материалов и генерации заданий до проверки ответов и персонализации траекторий обучения. Покажем типовую архитектуру: оркестрация агентов, инструменты (поиск, базы знаний, LMS), контуры безопасности и оценка качества. Обсудим практические сценарии — тьютор‑ассистент, автоматическое составление конспектов, диалоговые тренажеры и поддержка преподавателя. Отдельно затронем, как измерять полезность NLP в обучении и снижать риски галлюцинаций и утечек данных. В конце обозначим, с чего начать пилот и какие метрики помогут доказать эффект.</t>
  </si>
  <si>
    <t>d086abc9-a511-4ea7-8611-6cb042c035aa</t>
  </si>
  <si>
    <t>Агентная система для кодогенерации</t>
  </si>
  <si>
    <t>Внуков И.А</t>
  </si>
  <si>
    <t>LLM-агенты в области информационной безопасности</t>
  </si>
  <si>
    <t>В докладе рассмотрим, как построить агентную систему на базе LLM, которая генерирует код не «в один запрос», а через цепочку специализированных ролей: анализ требований, проектирование, реализация, тестирование и ревью. Покажем, какие механизмы оркестрации и памяти помогают агентам сохранять контекст, переиспользовать решения и снижать число регрессий. Отдельный фокус — безопасность: как встроить в пайплайн проверки на уязвимости, утечки секретов и небезопасные зависимости, чтобы кодогенерация соответствовала практикам AppSec. Обсудим типовые атаки на агентные системы (prompt injection, data exfiltration, tool abuse) и способы защиты: sandboxing, политики доступа, валидация инструментов и контроль артефактов. Разберем метрики качества и надежности — от компилируемости и покрытия тестами до security-gates и воспроизводимости результатов. В итоге вы получите практическую схему, как внедрить агентную кодогенерацию в инженерный процесс без потери управляемости и доверия к результату.</t>
  </si>
  <si>
    <t>e6609c3c-ad2a-4865-8e39-068fc66e9f56</t>
  </si>
  <si>
    <t>Автоматизация триажа уязвимостей с помощью LLM</t>
  </si>
  <si>
    <t>Кабанов Ф.А</t>
  </si>
  <si>
    <t>Data, AI-сервисы</t>
  </si>
  <si>
    <t>Триаж уязвимостей часто превращается в ручной разбор потока алертов, где легко утонуть в дубликатах, ложных срабатываниях и неполных описаниях. В докладе разберем, как использовать большие языковые модели для автоматической классификации находок, нормализации данных из сканеров и обогащения контекста: затронутые компоненты, условия эксплуатации, приоритет исправления и рекомендуемые действия. Поговорим о построении пайплайна: подготовка входных данных, промптинг/файнтюнинг, валидация ответов и интеграция с трекерами и CI/CD. Отдельно обсудим контроль качества и риски: галлюцинации, утечки чувствительных данных, воспроизводимость и требования комплаенса. Покажем метрики, по которым можно измерять пользу (сокращение времени triage, точность приоритизации, снижение шума) и подходы к безопасному внедрению в процесс AppSec.</t>
  </si>
  <si>
    <t>6c9cbf86-5d58-4197-99af-5f5e67751801</t>
  </si>
  <si>
    <t>DataHub AI-Gateway</t>
  </si>
  <si>
    <t>Царева Е.Р</t>
  </si>
  <si>
    <t>В докладе разберем, как построить AI‑gateway для DataHub, который становится единым входом к NLP‑моделям и сервисам внутри компании. Поговорим о типовых сценариях: маршрутизация запросов между провайдерами и моделями, управление промптами и версиями, а также стандартизация контрактов для команд‑потребителей. Покажем, как решать практические задачи продакшена: аутентификация и квоты, логирование и трассировка, кэширование, ретраи и деградация качества при сбоях. Отдельно обсудим безопасность и комплаенс для текстовых данных: маскирование PII, политика хранения и контроль утечек. Завершим набором метрик и подходов к оценке качества ответов, чтобы управлять стоимостью и стабильностью NLP‑функций на масштабе.</t>
  </si>
  <si>
    <t>d3fa414c-4008-4148-a4ad-879c75ae8e0e</t>
  </si>
  <si>
    <t>NLP в прикладных продуктах: от идеи до внедрения</t>
  </si>
  <si>
    <t>Сабирова М.М</t>
  </si>
  <si>
    <t>В докладе разберем, как технологии обработки естественного языка (NLP) превращаются из исследовательских прототипов в полезные функции в реальных продуктах. Поговорим о типовых задачах — классификации текстов, извлечении сущностей, поиске по смыслу и суммаризации — и о том, как выбрать подходящую модель под ограничения по качеству, скорости и стоимости. Обсудим подготовку данных, разметку, метрики и способы избежать утечек и смещения в датасетах. Отдельно затронем практику внедрения: пайплайны, мониторинг качества, A/B‑тесты и работу с деградацией модели во времени. Также рассмотрим риски и требования к безопасности: персональные данные, токсичность и интерпретируемость. В итоге вы получите понятный чек‑лист, который поможет спланировать и запустить NLP‑фичу от постановки задачи до поддержки в продакшене.</t>
  </si>
  <si>
    <t>5e6634d4-8ab1-4c82-8db8-812657583a63</t>
  </si>
  <si>
    <t>Автоматизация клиентской поддержки с помощью LLM</t>
  </si>
  <si>
    <t>Стрижаков Д.И</t>
  </si>
  <si>
    <t>NLP, parsing</t>
  </si>
  <si>
    <t>В докладе разберем, как большие языковые модели могут автоматизировать ключевые этапы клиентской поддержки: от первичной классификации обращений до генерации ответов и маршрутизации в нужную команду. Поговорим о том, как извлекать из сообщений пользователя структурированные данные с помощью NLP и парсинга, чтобы заполнять тикеты, выявлять intent и собирать контекст без ручной работы. Рассмотрим типовую архитектуру решения: RAG по базе знаний, интеграции с CRM/HelpDesk и контуры контроля качества. Отдельно обсудим риски — галлюцинации, утечки данных, токсичные ответы — и практики их снижения через правила, валидацию и human-in-the-loop. Покажем метрики, по которым стоит оценивать эффект автоматизации: скорость ответа, доля самообслуживания, CSAT и стоимость обработки обращения. В итоге вы получите набор подходов, которые помогут внедрить LLM в поддержку безопасно и измеримо.</t>
  </si>
  <si>
    <t>62e4b60a-11c3-4107-a858-ef59a87e51f9</t>
  </si>
  <si>
    <t>Локальный NLP в мобильных приложениях: от прототипа до продакшена</t>
  </si>
  <si>
    <t>Богодист В.</t>
  </si>
  <si>
    <t>В докладе разберем, как встроить возможности NLP в мобильное приложение так, чтобы они работали быстро, безопасно и без постоянного обращения к облаку. Поговорим о типовых сценариях: умный поиск, классификация и модерация текста, извлечение сущностей, суммаризация и подсказки пользователю. Сравним подходы — от классических моделей и эмбеддингов до компактных LLM — и обсудим, как выбирать архитектуру под ограничения устройства. Отдельно затронем вопросы качества: датасеты, метрики, A/B‑эксперименты и мониторинг деградации моделей после релиза. Покажем, как организовать пайплайн обновления моделей и обеспечить приватность данных пользователя. В результате у слушателей будет практическая карта внедрения NLP-фич в продукт с понятными компромиссами по скорости, памяти и точности.</t>
  </si>
  <si>
    <t>09eae996-e9a0-4e33-bbee-07a23521457b</t>
  </si>
  <si>
    <t>LLM-ассистент для анализа данных на SQL</t>
  </si>
  <si>
    <t>Матусков Н.И, Стародумова Е.Р</t>
  </si>
  <si>
    <t>В докладе разберем, как построить LLM-ассистента, который помогает аналитикам и разработчикам работать с данными через SQL: от формулировки вопроса на естественном языке до генерации и объяснения запросов. Обсудим архитектуру решения: подключение к DWH/БД, контекст о схеме, retrieval по метаданным и примерам запросов, а также валидацию и безопасное выполнение. Поговорим о типичных ошибках моделей (галлюцинации полей, неверные джойны, утечки данных) и о практиках, которые повышают точность: тестовые наборы, ограничения на диалект, SQL-linting и «guardrails». Покажем, как организовать итеративный цикл «сгенерировал → проверил → исправил» и как делать прозрачные объяснения результатов для доверия пользователей. Отдельно затронем вопросы доступа, маскирования чувствительных данных и аудита действий ассистента. В итоге вы получите набор подходов и чек-лист, позволяющие внедрить LLM-ассистента в аналитику без потери качества и безопасности.</t>
  </si>
  <si>
    <t>4f92c1df-cdb7-4b45-978a-0e7055d87f0f</t>
  </si>
  <si>
    <t>Разработка и исследование методов тензорного параллелизма для объединенного вычисления линейного слоя и функции потерь в распределенном обучении LLM</t>
  </si>
  <si>
    <t>Акимов Р.К</t>
  </si>
  <si>
    <t>В докладе рассматриваются методы тензорного параллелизма, позволяющие объединить вычисление финального линейного слоя и функции потерь при распределенном обучении больших языковых моделей. Обсудим, почему стандартное разбиение матриц и отдельный расчет loss приводят к лишним коммуникациям, росту задержек и неэффективному использованию памяти на кластере. Представим варианты «fusion»-подходов, которые уменьшают число all-reduce/all-gather операций и улучшают масштабируемость при больших словарях и батчах. Разберем, как такие схемы влияют на численную стабильность, точность и совместимость с mixed precision. Поговорим о практических деталях внедрения в пайплайн обучения: шардирование весов, распределение logits, вычисление softmax/cross-entropy и обработка масок. В завершение сравним подходы на типичных NLP-задачах и обозначим, в каких режимах обучения объединение линейного слоя и loss дает наибольший выигрыш по скорости и стоимости.</t>
  </si>
  <si>
    <t>1cb6dfa3-6a9a-4991-8237-bb3ca6fda427</t>
  </si>
  <si>
    <t>Генератор схем решения математических задач</t>
  </si>
  <si>
    <t>Носилкин Н.</t>
  </si>
  <si>
    <t>В докладе представим инструмент, который автоматически строит наглядные схемы решения математических задач — от исходных данных до финального ответа. В основе лежат методы компьютерного зрения: система распознает условие по изображению или скану, выделяет ключевые сущности (формулы, величины, связи) и переводит их в структурированное представление. Далее генератор формирует пошаговый план решения и визуальную «карту» преобразований, помогая понять логику, а не просто получить результат. Обсудим архитектуру пайплайна, типичные ошибки распознавания и способы повышения устойчивости на реальных данных (шум, рукописный текст, нестандартная верстка). Покажем примеры применения в обучении и проверке домашних заданий, а также ограничения подхода и направления развития.</t>
  </si>
  <si>
    <t>cdd8369d-47c2-4195-9112-34556f1522b7</t>
  </si>
  <si>
    <t>Колоризация манги</t>
  </si>
  <si>
    <t>Казымов О.А</t>
  </si>
  <si>
    <t>В докладе рассмотрим задачу автоматической колоризации манги как частный случай предиктивной аналитики для визуального контента. Обсудим, как по контексту панелей, линиям и полутоновым заливкам предсказывать палитру и распределение цветов, сохраняя стиль автора и целостность сцены. Разберем, какие данные и разметка нужны, как бороться с неоднозначностью «правильного» цвета и как оценивать качество результата помимо метрик — через пользовательские предпочтения. Покажем, как рекомендательные подходы помогают выбирать стиль колоризации, палитры и референсы под конкретного читателя или тайтл. Отдельно затронем вопросы продакшена: ускорение пайплайна для художников, контроль артефактов и интеграция в инструменты верстки. В итоге вы получите практическое представление о том, как превратить колоризацию из ручного ремесла в масштабируемый ML-сервис.</t>
  </si>
  <si>
    <t>25c79403-88c9-4d2e-8db6-3e0ed2e9f55b</t>
  </si>
  <si>
    <t>Personal diet assistant</t>
  </si>
  <si>
    <t>Шпинева П.С, Самородов Д.О</t>
  </si>
  <si>
    <t>Health</t>
  </si>
  <si>
    <t>Доклад посвящен созданию персонального диетического ассистента, который помогает пользователю планировать питание и придерживаться целей по здоровью. Разберем, какие данные стоит собирать (предпочтения, ограничения, аллергии, уровень активности) и как на их основе формировать рекомендации по рациону и порциям. Поговорим о сценариях: подбор меню на неделю, учет калорий и БЖУ, напоминания, список покупок и адаптация плана при изменении режима. Отдельно затронем вопросы качества данных и ответственности: как избегать вредных советов и когда нужно направлять пользователя к врачу. Покажем, как измерять пользу продукта через метрики удержания, соблюдения плана и самочувствия. В итоге вы получите понятную архитектуру и набор практик для запуска такого ассистента в реальном приложении.</t>
  </si>
  <si>
    <t>345b46c8-8ad7-4f3a-b6e4-9baa92074877</t>
  </si>
  <si>
    <t>Цифровой генеалог</t>
  </si>
  <si>
    <t>Беркутов Д.Е, Ри Аркадий</t>
  </si>
  <si>
    <t>Обучение с подкреплением</t>
  </si>
  <si>
    <t>В докладе рассматривается идея «цифрового генеалога» — системы, которая помогает автоматически собирать, связывать и уточнять данные о родственных связях из разрозненных источников. Ключевой акцент сделан на применении обучения с подкреплением для интерактивного построения генеалогического графа: агент выбирает, какие гипотезы проверять, какие документы запрашивать и какие связи подтверждать в условиях неполных и шумных данных. Обсудим, как формулировать состояние, действия и награду так, чтобы система училась минимизировать число ошибок и стоимость проверок, повышая точность дерева. Разберем подходы к разрешению неоднозначностей (однофамильцы, разные написания, пропуски дат) и к работе с конфликтующими свидетельствами. Покажем, как оценивать качество результата и как организовать цикл «предложение — проверка — корректировка» с участием пользователя. В итоге получится практический план создания помощника, который со временем становится точнее и полезнее на реальных генеалогических задачах.</t>
  </si>
  <si>
    <t>d9e57827-1a08-49c7-9020-22d546b8bb0b</t>
  </si>
  <si>
    <t>Повышение эффективности роевого взаимодействия БПЛА за счёт применения алгоритмов машинного обучения</t>
  </si>
  <si>
    <t>Кудрявцев А.А</t>
  </si>
  <si>
    <t>Сomputer vision</t>
  </si>
  <si>
    <t>В докладе рассматривается, как методы машинного обучения могут повысить эффективность роевого взаимодействия беспилотных летательных аппаратов при выполнении совместных задач. Обсудим, какие данные и сенсоры (в первую очередь видеопотоки) используются для восприятия окружения и распознавания объектов, препятствий и соседних дронов. Поговорим о подходах компьютерного зрения для устойчивой локализации, оценки ситуации и предотвращения столкновений в условиях ограниченной связи и динамичной среды. Разберём, как модели помогают распределять роли и траектории внутри роя, балансируя автономность отдельных БПЛА и коллективные цели. Отдельное внимание уделим практическим ограничениям: вычисления на борту, задержки, качество данных и переносимость моделей из симуляции в реальный полёт. В завершение покажем типовые метрики и сценарии, по которым оценивают выигрыш от ML в координации роя.</t>
  </si>
  <si>
    <t>2288d692-1c78-4e28-b5dd-2be8d46da5c9</t>
  </si>
  <si>
    <t>License Plate Detector (нахождение главного номера автомобиля)</t>
  </si>
  <si>
    <t>Горохова А.С</t>
  </si>
  <si>
    <t>ML в промышленности</t>
  </si>
  <si>
    <t>В докладе разберем, как построить промышленный ML‑сервис для детекции автомобильных номеров и выбора «главного» номера на кадре в реальных условиях. Обсудим сбор и разметку данных, типичные источники шума (углы съемки, грязь, засветы, частичные перекрытия) и требования к качеству на проде. Покажем пайплайн: детекция объектов, постобработка и правила/модель ранжирования, позволяющие стабильно определять основной номер среди нескольких кандидатов. Отдельно затронем оптимизацию инференса, работу на edge/сервере, мониторинг качества и обработку дрейфа данных. В конце — практические рекомендации по внедрению, метрикам и тестированию, чтобы решение было надежным в промышленной эксплуатации.</t>
  </si>
  <si>
    <t>a8675bd6-9a7d-416a-b76b-5079742b2372</t>
  </si>
  <si>
    <t>Сегментация клиентов и рекомендация продуктов</t>
  </si>
  <si>
    <t>Студеникин Н.А</t>
  </si>
  <si>
    <t>В докладе разберем, как в промышленной среде построить систему сегментации клиентов и персональных рекомендаций продуктов, которая дает измеримый эффект для бизнеса. Обсудим, какие данные использовать (транзакции, поведение, профиль), как подготовить признаки и выбрать подход: кластеризация, эмбеддинги, RFM/поведенческие сегменты и гибридные схемы. Покажем, как связать сегменты с рекомендательными моделями (collaborative filtering, content-based, ranking) и организовать обучение с учетом холодного старта и разреженности. Отдельно поговорим про оценку качества: offline-метрики, A/B‑тесты, контроль смещения и интерпретируемость сегментов для маркетинга и продаж. Затронем вопросы продакшена: пайплайны, мониторинг дрейфа, обновление моделей и требования к latency. В результате вы получите практический план внедрения сегментации и рекомендаций от прототипа до устойчивого сервиса.</t>
  </si>
  <si>
    <t>dadaf6ee-4e9d-4ac4-8ff8-d4e6143a30d0</t>
  </si>
  <si>
    <t>Система автоматической генерации рекламных баннеров</t>
  </si>
  <si>
    <t>Выродов М.В</t>
  </si>
  <si>
    <t>DL в промышленности</t>
  </si>
  <si>
    <t>В докладе расскажем о промышленной системе, которая автоматически генерирует рекламные баннеры на основе входных данных о продукте, аудитории и ограничениях бренда. Разберем архитектуру пайплайна: подготовку данных, генеративную модель, постобработку и модуль валидации качества и соответствия гайдам. Покажем, как организованы обучение и дообучение на реальных креативах, а также как решаются задачи контроля текста, композиции и запрещенного контента. Обсудим метрики и A/B‑эксперименты, которые связывают качество генерации с бизнес‑показателями, и как устроен мониторинг деградаций в продакшене. Отдельно затронем вопросы скорости, стоимости инференса и масштабирования под большие объемы кампаний. В конце поделимся типовыми ошибками внедрения и практиками, которые помогли довести систему до стабильной работы в проде.</t>
  </si>
  <si>
    <t>c68402b0-8754-4f9a-b20c-e07529e07e76</t>
  </si>
  <si>
    <t>AI Навигация 360</t>
  </si>
  <si>
    <t>Жукова А.В</t>
  </si>
  <si>
    <t>ML в Fintech</t>
  </si>
  <si>
    <t>В докладе расскажем о системе «AI Навигация 360» — подходе к интеллектуальной навигации по финансовым продуктам и пользовательским сценариям в fintech-приложении. Покажем, как ML-модели объединяют сигналы из транзакций, поведения и контекста, чтобы в реальном времени подсказывать следующий шаг: от выбора услуги до оформления и поддержки. Обсудим архитектуру пайплайна: сбор и очистка данных, feature store, ранжирование рекомендаций и контур онлайн-обучения с контролем качества. Отдельно разберем требования финтеха — интерпретируемость, борьбу со смещениями, безопасность, соответствие регуляторике и защиту персональных данных. Приведем метрики и A/B-подходы, которые помогают измерять пользу навигации не только в конверсии, но и в снижении фрустрации и нагрузки на поддержку. Завершим практическими кейсами внедрения и типичными ошибками, из-за которых «умные подсказки» превращаются в шум.</t>
  </si>
  <si>
    <t>807de48e-effe-42a6-837f-e9c56f86730e</t>
  </si>
  <si>
    <t>Разработка модели бинарной классификации для удержания денежных средств клиентов банка</t>
  </si>
  <si>
    <t>Петракова М.А</t>
  </si>
  <si>
    <t>NLP, ML в Fintech</t>
  </si>
  <si>
    <t>В докладе рассмотрим построение модели бинарной классификации, которая прогнозирует вероятность оттока средств клиента и помогает банку вовремя предложить меры по удержанию. Разберем, какие данные и признаки наиболее информативны: транзакционная активность, поведенческие паттерны, продуктовый профиль и сигналы из текстовых источников (обращения в поддержку, комментарии, анкеты). Покажем, как сочетать классические табличные модели с NLP-компонентами и как организовать обучение с учетом дисбаланса классов и дрейфа данных. Обсудим метрики и бизнес-оценку качества: от ROC-AUC и PR-AUC до uplift и ожидаемого эффекта на удержание. Отдельно затронем интерпретируемость (SHAP/feature importance) и требования комплаенса, чтобы решения модели можно было объяснить бизнесу и риск-службам. Завершим практическими рекомендациями по внедрению: мониторинг, переобучение, A/B-тестирование и контроль влияния на клиентский опыт.</t>
  </si>
  <si>
    <t>ccfbefd4-f913-46d2-816c-0d08d3c1d978</t>
  </si>
  <si>
    <t>Автоматизированный ML-пайплайн для выявления инсайтов в комментариях клиентских менеджеров</t>
  </si>
  <si>
    <t>Агапитов Д.В</t>
  </si>
  <si>
    <t>В докладе расскажем, как построить автоматизированный ML‑пайплайн, который извлекает инсайты из текстовых комментариев клиентских менеджеров в финтех‑процессах. Разберем полный цикл: сбор и очистка данных, обезличивание, разметка и контроль качества, обучение моделей для классификации и тематического анализа, а также суммаризацию ключевых сигналов. Покажем, как превратить неструктурированные заметки в измеримые метрики: причины отказов, триггеры оттока, частые боли клиентов и точки роста продукта. Отдельно обсудим MLOps‑часть — мониторинг дрейфа, переобучение, интерпретируемость и безопасный вывод результатов в аналитические витрины и CRM. Поделимся практиками работы с шумным «полевым» текстом, где важны контекст, сокращения и доменная лексика. В итоге вы получите шаблон решения, которое ускоряет обратную связь от фронта к продукту и снижает ручные затраты на анализ.</t>
  </si>
  <si>
    <t>0a2f9248-f54a-4929-be5c-7d6edbf1ff56</t>
  </si>
  <si>
    <t>Система автоматического сбора и анализа корпоративных событий и данных облигационного рынка России с применением ML для оценки рисков</t>
  </si>
  <si>
    <t>Верещагин И.А</t>
  </si>
  <si>
    <t>В докладе представим систему, которая автоматически собирает и нормализует данные по российскому облигационному рынку и корпоративным событиям эмитентов из разнородных источников. Покажем, как выстраивается пайплайн от очистки и дедупликации новостей, раскрытий и рыночных котировок до формирования единого профиля эмитента и выпуска. Обсудим применение методов машинного обучения для выявления риск-сигналов: ухудшение финансового состояния, рост вероятности дефолта, события ковенантов и аномалии ликвидности. Разберем подходы к построению признаков, работе с временными рядами и текстами, а также калибровке моделей под российскую специфику данных. Отдельно затронем вопросы качества данных, интерпретируемости, мониторинга дрейфа и валидации на исторических стресс-периодах. Завершим практическими кейсами использования результатов в риск-менеджменте и инвестиционных процессах: скоринг, алерты и ранжирование выпусков по уровню риска.</t>
  </si>
  <si>
    <t>1d74866d-a62b-4669-88b2-d16f3887fbdb</t>
  </si>
  <si>
    <t>Применение нейросетевых моделей для оценки кредитного риска</t>
  </si>
  <si>
    <t>Иванова А.А</t>
  </si>
  <si>
    <t>В докладе рассматривается, как нейросетевые модели применяются для оценки кредитного риска в финтех-продуктах и чем они отличаются от классических скоринговых подходов. Обсудим типичные источники данных, подготовку признаков и выбор архитектур для задач дефолта, вероятности просрочки и кредитного лимита. Разберем, как измерять качество моделей и переводить метрики в бизнес-эффект, не теряя устойчивость на сдвигах данных. Отдельное внимание уделим интерпретируемости и требованиям регуляторов: как объяснять решения модели и контролировать смещения и дискриминацию. Поговорим о внедрении в продакшен: мониторинг, дрейф, переобучение и A/B-проверки на реальном потоке заявок. В конце — практические рекомендации по построению надежного ML-контура для кредитного скоринга.</t>
  </si>
  <si>
    <t>2e1b7077-ea19-4fee-bcd1-d872f53b4011</t>
  </si>
  <si>
    <t>Бенчмарк DeepFake методов для борьбы с мошенниками</t>
  </si>
  <si>
    <t>Гильфанов Р.А, Золотухин Д.И</t>
  </si>
  <si>
    <t>В докладе разберем, как современные DeepFake-технологии используются мошенниками и почему классические антифрод-подходы перестают справляться. Представим бенчмарк методов детекции подделок голоса и видео, ориентированный на реальные сценарии: звонки «из банка», подмена личности в видеосвязи и синтетические сообщения. Обсудим датасеты, метрики качества и устойчивость моделей к адаптивным атакам, когда злоумышленники подстраиваются под детекторы. Сравним подходы на базе NLP/ASR-признаков, мультимодальные модели и легковесные решения для онлайновой проверки в продуктиве. Отдельно затронем вопросы ложных срабатываний, приватности и интеграции в антифрод-пайплайн. В конце сформулируем практические рекомендации: какие методы выбирать под разные каналы и ограничения по задержке и стоимости.</t>
  </si>
  <si>
    <t>a15a38c2-ba33-4771-b14f-3806e9df779b</t>
  </si>
  <si>
    <t>Дедупликация новостей</t>
  </si>
  <si>
    <t>Грачев К.Ю</t>
  </si>
  <si>
    <t>В докладе разберем задачу дедупликации новостей в финтех-продуктах, где один и тот же инфоповод приходит из разных источников и в разных формулировках. Обсудим, как формализовать «одинаковость» и «похожесть» новостей и какие метрики качества важны для бизнеса: точность, полнота, скорость и устойчивость к шуму. Рассмотрим ML-подходы к поиску дублей: эмбеддинги, семантическое сравнение, кластеризацию и гибридные схемы с правилами. Поговорим о построении пайплайна — от нормализации текста и извлечения сущностей до онлайн-матчинга и обновления кластеров в потоке. Отдельно затронем проблемы продакшена: дрейф тем, мультиязычность, борьба с спамом и объяснимость решений. В конце покажем, как дедупликация влияет на пользовательский опыт и снижает информационный шум без потери важных новостей.</t>
  </si>
  <si>
    <t>44287ecc-0982-4fac-8f0b-00db4785af94</t>
  </si>
  <si>
    <t>Интеллектуальный агент на базе LLM для оценки эффекта интервенций и генерации причинно‑следственных интерпретаций</t>
  </si>
  <si>
    <t>Корнелюк А.В</t>
  </si>
  <si>
    <t>Recsys / предиктивная аналитика, финтех</t>
  </si>
  <si>
    <t>В докладе разберем, как построить интеллектуального агента на базе LLM, который помогает оценивать эффект продуктовых и риск‑интервенций в финтехе и переводить результаты моделей в понятные причинно‑следственные объяснения. Поговорим о связке предиктивной аналитики и causal inference: какие данные и допущения нужны, как учитывать смещения, отбор и контрфакты, и где заканчивается корреляция. Покажем, как агент формирует гипотезы, подбирает подходящий метод оценки (A/B, uplift, matching, IV и др.), запускает расчеты и собирает единый нарратив для бизнеса. Отдельно обсудим контроль качества: валидацию выводов, устойчивость к дрейфу, проверку на галлюцинации и трассируемость рассуждений через ссылки на метрики и артефакты. Затронем практические кейсы из рекомендательных и скоринговых сценариев: изменение правил, лимитов, коммуникаций и их влияние на конверсию, риск и LTV. В итоге вы получите шаблон архитектуры и набор практик, позволяющих быстрее принимать решения об интервенциях и объяснять их эффект без потери строгости.</t>
  </si>
  <si>
    <t>e511834f-1803-46c8-a4d0-3a76e294d591</t>
  </si>
  <si>
    <t>Поиск по артефактам компании с интеграций RAG</t>
  </si>
  <si>
    <t>Гаранин Д.А</t>
  </si>
  <si>
    <t>ML, MARL, мульти-агентные системы</t>
  </si>
  <si>
    <t>В докладе разберем, как построить корпоративный поиск по разнородным артефактам компании (документы, тикеты, код, базы знаний) с помощью Retrieval-Augmented Generation (RAG). Обсудим архитектуру пайплайна: сбор и нормализацию данных, чанкинг, эмбеддинги, векторное хранилище и ранжирование, а также как подключать источники через интеграции и поддерживать актуальность индекса. Покажем, где классический RAG начинает «сыпаться» — права доступа, дубликаты, шум, устаревшие версии — и какие практики помогают повысить точность и воспроизводимость ответов. Отдельно рассмотрим мультиагентный подход: агенты-специалисты по источникам, агент-оркестратор и критик, которые совместно планируют запрос, выбирают инструменты и проверяют факты. Затронем идеи MARL для обучения стратегий выбора источников и последовательности действий на основе сигналов качества (клики, оценка пользователей, метрики релевантности). В финале обсудим метрики, офлайн/онлайн-оценку и типовые сценарии внедрения такого поиска в продукт и внутренние процессы.</t>
  </si>
  <si>
    <t>bb025247-6099-4338-a258-7728876f20f5</t>
  </si>
  <si>
    <t>OvercookedLM</t>
  </si>
  <si>
    <t>Юрин Е.С</t>
  </si>
  <si>
    <t>LLM</t>
  </si>
  <si>
    <t>В докладе OvercookedLM разберем, как использовать большие языковые модели в продуктовой разработке так, чтобы они ускоряли команды, а не превращали процессы в хаос. Поговорим о типичных «переваренных» сценариях: избыточные промпты, нестабильные ответы, рост стоимости и сложности поддержки. Покажем практические паттерны интеграции LLM в приложение и бэкенд: RAG, инструменты/функции, контроль контекста и политики безопасности. Обсудим оценку качества (evals), наблюдаемость и A/B‑подходы, которые помогают удерживать предсказуемость. Отдельно затронем вопросы приватности данных, комплаенса и защиты от prompt injection. В итоге вы получите чек-лист, как «готовить» LLM-фичи до состояния, когда ими можно надежно пользоваться в продакшене.</t>
  </si>
  <si>
    <t>731b44d4-eb2d-401b-8519-acd93024c685</t>
  </si>
  <si>
    <t>Оптимизация процесса назначения исполнителя заказа в компании</t>
  </si>
  <si>
    <t>Михайлов В.И</t>
  </si>
  <si>
    <t>CV (Computer Vision), ML в промышленности</t>
  </si>
  <si>
    <t>В докладе расскажем, как оптимизировать процесс назначения исполнителя на заказ в промышленной компании с помощью машинного обучения. Разберем, какие данные о заказах, загрузке сотрудников, навыках и ограничениях можно использовать для построения модели рекомендаций и автоматического распределения. Покажем, как компьютерное зрение может дополнять контекст — например, подтверждать тип работ, состояние объекта или корректность входящих материалов по фото/видео, снижая долю ручной проверки. Обсудим метрики качества (SLA, время назначения, доля переназначений, простои) и подходы к A/B‑проверке в реальном процессе. Отдельно затронем вопросы внедрения: интеграции с ERP/CRM, объяснимости решений, обработки ошибок и безопасных «ручных» режимов. В результате слушатели получат практическую схему, как перейти от хаотичного назначения к управляемому, измеримому и масштабируемому процессу.</t>
  </si>
  <si>
    <t>f22cea8c-e0d7-4107-97fd-3642bb8dc1ce</t>
  </si>
  <si>
    <t>Разработка прототипа программно-аппаратного комплекса для автоматического обнаружения, идентификации и полёта к заданному объекту на борту БВС</t>
  </si>
  <si>
    <t>Задорожный А.С</t>
  </si>
  <si>
    <t>CV (Computer Vision) NLP Автономные агенты</t>
  </si>
  <si>
    <t>В докладе представлен прототип программно-аппаратного комплекса для беспилотного воздушного судна, который способен автономно обнаруживать, распознавать и сопровождать заданный объект с последующим выходом в точку сближения. Разберём архитектуру бортового контура: обработку видеопотока на edge-вычислениях, модуль компьютерного зрения для детекции/идентификации и контур управления полётом, замыкающийся на результатах восприятия. Покажем, как используются автономные агенты для принятия решений в динамической среде: выбор цели, планирование траектории, реакция на помехи и потерю трека. Отдельно обсудим роль NLP-интерфейса для постановки задачи оператором в естественном языке и преобразования команды в формализованную миссию. Поделимся практическими ограничениями: задержки, энергопотребление, устойчивость моделей к условиям освещения и погоде, а также требования к безопасности. В завершение — результаты испытаний прототипа и направления развития к серийному решению.</t>
  </si>
  <si>
    <t>23c1c3e3-1e6f-4a9a-ad2d-0ac23930f74c</t>
  </si>
  <si>
    <t>MAS Retrieval для автоматизации бизнес‑процесса обработки документов</t>
  </si>
  <si>
    <t>Неверов З.А</t>
  </si>
  <si>
    <t>В докладе расскажем, как применить подход MAS Retrieval (multi-agent + retrieval) для автоматизации полного цикла обработки документов в корпоративных процессах. Разберем архитектуру решения: извлечение знаний из разрозненных источников, поиск релевантных фрагментов, оркестрация агентов и формирование итоговых действий — от классификации и маршрутизации до заполнения полей и подготовки ответов. Покажем, как на базе данных о документах строится рекомендательная и предиктивная логика: подсказки исполнителям, прогноз сроков и рисков, выявление аномалий и типовых ошибок. Обсудим качество и метрики (precision/recall, latency, доля ручных правок), а также практики снижения галлюцинаций и обеспечения трассируемости решений. Отдельно затронем вопросы безопасности, разграничения доступа и соответствия требованиям комплаенса. В завершение — кейсы внедрения и рекомендации по поэтапному запуску в продакшене.</t>
  </si>
  <si>
    <t>4bae40a2-4f91-43f2-bd18-973a6b45cee2</t>
  </si>
  <si>
    <t>Исследования SMMR для соц. сети Пульс с учетом временной компоненты</t>
  </si>
  <si>
    <t>Денисов Н.А.</t>
  </si>
  <si>
    <t>В докладе расскажем об исследовании и внедрении SMMR-подхода для рекомендательной системы соцсети «Пульс» с явным учетом временной динамики интересов пользователей и жизненного цикла контента. Разберем, как добавление временной компоненты влияет на качество ранжирования ленты, разнообразие рекомендаций и скорость адаптации к трендам. Покажем, какие признаки и модели помогают отличать «всплески» внимания от устойчивых предпочтений и как бороться с устареванием сигналов. Обсудим постановку офлайн- и онлайн-экспериментов, метрики (точность, новизна, удержание) и типичные ловушки при оценке на временных срезах. Отдельно затронем вопросы холодного старта и баланс между свежим контентом и персонализацией. В итоге сформулируем практические выводы и рекомендации по применению SMMR в продакшене для динамичных лент.</t>
  </si>
  <si>
    <t>4e213d22-5a94-4821-9810-39510f6da735</t>
  </si>
  <si>
    <t>Customer Choice Models</t>
  </si>
  <si>
    <t>Балаба С., Шарифуллин М., Скобей И.</t>
  </si>
  <si>
    <t>NLP, Автономные агенты, Обучение с подкреплением</t>
  </si>
  <si>
    <t>В докладе разберем, как строить модели выбора клиента (Customer Choice Models), которые предсказывают, какой товар, тариф или сценарий пользователь выберет в конкретном контексте. Поговорим о том, как извлекать сигналы из текстовых данных с помощью NLP: отзывы, обращения в поддержку и описания товаров, и как превращать их в признаки для моделей предпочтений. Обсудим подходы с обучением с подкреплением для оптимизации рекомендаций и ранжирования, когда важно учитывать долгосрочную ценность, а не только мгновенный клик. Покажем, как автономные агенты могут автоматизировать цикл «гипотеза → эксперимент → обновление политики», подбирая стратегии взаимодействия с пользователем и ограничениями бизнеса. Отдельно затронем вопросы интерпретируемости, смещения (bias) и корректной постановки онлайн-экспериментов, чтобы модель не ухудшала опыт и метрики. В итоге вы получите практическую картину того, как объединить текстовые сигналы, RL и агентные системы в единую архитектуру принятия решений для персонализации.</t>
  </si>
  <si>
    <t>c46e0586-10d3-4167-8096-b1cd7b1959bc</t>
  </si>
  <si>
    <t>Разработка LLM-агентов для поддержки T-Tech</t>
  </si>
  <si>
    <t>Хохулин А.В.</t>
  </si>
  <si>
    <t>Временные ряды</t>
  </si>
  <si>
    <t>В докладе расскажем, как мы проектируем и внедряем LLM-агентов для поддержки внутренних команд T-Tech: от постановки задач и выбора архитектуры до запуска в прод. Разберем, как агенты работают с корпоративными знаниями, тикетами и логами, и где их возможности усиливаются анализом временных рядов — для выявления аномалий, прогнозирования нагрузки и раннего предупреждения инцидентов. Поговорим о пайплайне данных, оценке качества ответов и метриках эффективности поддержки, а также о том, как снижать галлюцинации и обеспечивать воспроизводимость. Отдельно затронем вопросы безопасности: разграничение доступа, аудит действий агента и защита чувствительных данных. Покажем типовые сценарии — от авто-триажа обращений до генерации рекомендаций по устранению проблем — и обсудим, какие ограничения важно учитывать при масштабировании.</t>
  </si>
  <si>
    <t>f073185d-2a21-4960-87f6-3c328e12c7f1</t>
  </si>
  <si>
    <t>Решение для определения сезонности товаров</t>
  </si>
  <si>
    <t>Пастушенко А.Г.</t>
  </si>
  <si>
    <t>В докладе представлено решение для автоматического определения сезонности товаров на основе текстовых данных. Мы покажем, как с помощью NLP извлекать сигналы сезонного спроса из названий, описаний и пользовательских запросов, даже когда исторических продаж недостаточно или они шумные. Разберем пайплайн: подготовка данных, построение признаков/эмбеддингов, обучение модели и калибровка сезонных меток по периодам. Отдельно обсудим обработку редких товаров, смену ассортимента и перенос знаний между категориями. Покажем, как оценивать качество (offline-метрики и бизнес-эффект) и встраивать предсказания в процессы планирования закупок, промо и рекомендаций. В конце — практические выводы и типовые ошибки при внедрении сезонности в продакшен.</t>
  </si>
  <si>
    <t>7dcc8f7b-7885-45a3-9d7f-48a1b2cb265e</t>
  </si>
  <si>
    <t>Разработка компонента рекомендательной системы для сервиса подбора персонала</t>
  </si>
  <si>
    <t>Степановский М.П.</t>
  </si>
  <si>
    <t>CV (Computer Vision)</t>
  </si>
  <si>
    <t>В докладе рассмотрим разработку компонента рекомендательной системы для сервиса подбора персонала, который помогает точнее сопоставлять вакансии и кандидатов. Покажем, как использовать Computer Vision для извлечения признаков из визуальных данных (например, фото, сканов документов или материалов портфолио) и объединять их с текстовыми и структурированными сигналами. Обсудим построение пайплайна: сбор и разметка данных, обучение моделей, валидация качества и контроль смещений, влияющих на справедливость рекомендаций. Разберем, как организовать ранжирование и объяснимость результатов, чтобы рекрутеры понимали причины совпадений. Отдельно затронем вопросы приватности и безопасной обработки персональных данных при работе с изображениями. В конце поделимся практическими выводами о том, как встроить компонент в продакшен и измерять его эффект на конверсию и время закрытия вакансий.</t>
  </si>
  <si>
    <t>3567ede2-0246-4104-8778-88fa8e28cff4</t>
  </si>
  <si>
    <t>Ресерч по созданию модели для автомодерации маркетплейса Ozon</t>
  </si>
  <si>
    <t>Здоронок Е.М.</t>
  </si>
  <si>
    <t>ML</t>
  </si>
  <si>
    <t>В докладе разберем исследование по созданию ML‑модели для автомодерации контента на маркетплейсе Ozon. Поговорим о том, какие типы нарушений приходится выявлять (тексты, изображения, атрибуты товаров) и как формулировать задачу: классификация, ранжирование или гибридный пайплайн. Обсудим сбор и разметку данных, работу с шумом и дисбалансом классов, а также метрики, которые действительно отражают качество модерации в продакшене. Покажем, как строится контур от офлайн‑экспериментов до онлайн‑проверок, включая пороги, правила эскалации на ручную модерацию и контроль ошибок. Отдельно затронем вопросы интерпретируемости, устойчивости к обходам и мониторинга деградации модели. В итоге вы получите практическое представление о том, как превратить прототип автомодерации в надежный сервис, который снижает нагрузку на модераторов и повышает безопасность площадки.</t>
  </si>
  <si>
    <t>1ee830b3-358f-443b-83db-49f2590bcbc0</t>
  </si>
  <si>
    <t>Внедрение внутренних данных в скоринговую модель на графе друзей</t>
  </si>
  <si>
    <t>Спирин И.А.</t>
  </si>
  <si>
    <t>NLP, Распознавание речи (Automated Speech Recognition (ASR) / speech-to-text (STT))</t>
  </si>
  <si>
    <t>В докладе разберем, как обогатить скоринговую модель на графе социальных связей внутренними данными компании, чтобы повысить точность и устойчивость решений. Поговорим о том, какие типы сигналов можно извлечь из неструктурированных источников и как превратить их в признаки для вершин и ребер графа. Отдельно рассмотрим применение NLP и распознавания речи: как получать текст из аудио, нормализовать его и безопасно агрегировать в поведенческие и тематические фичи. Обсудим стратегии встраивания этих признаков в графовые модели (например, через эмбеддинги и message passing) и способы борьбы с шумом, смещениями и утечками таргета. Покажем, как организовать валидацию на временных срезах и оценивать вклад новых внутренних сигналов в качество скоринга. Завершим практическими рекомендациями по приватности, интерпретируемости и эксплуатации такой модели в продакшене.</t>
  </si>
  <si>
    <t>823ab482-0c51-4e8f-b2d0-ed6fd344572d</t>
  </si>
  <si>
    <t>Разработка AI‑ассистента для отдела продаж</t>
  </si>
  <si>
    <t>Хилькович Н., Соколов П., Костюк Е.</t>
  </si>
  <si>
    <t>CV (Computer Vision), Распознавание речи (Automated Speech Recognition (ASR) / speech-to-text (STT)), Синтез речи (Speech Synthesis / text-to-speech (TTS))</t>
  </si>
  <si>
    <t>В докладе расскажем, как спроектировать и внедрить AI‑ассистента, который помогает менеджерам продаж в звонках и встречах: слушает диалог, фиксирует ключевые факты и подсказывает следующие шаги. Разберем связку ASR для точной расшифровки речи, NLP‑слой для извлечения намерений и сущностей, а также TTS для озвучивания подсказок и ответов в реальном времени. Покажем, где в продажах уместно компьютерное зрение: распознавание документов и визиток, анализ экранных демонстраций или контроль заполнения форм. Обсудим требования к качеству (WER, задержка, устойчивость к шуму), безопасность данных клиентов и способы интеграции с CRM и телефонией. Отдельно затронем обучение на доменных данных, обработку возражений и оценку эффекта через конверсию, скорость обработки лидов и снижение рутины. В итоге вы получите практическую архитектуру и набор решений, позволяющих довести ассистента от прототипа до промышленной эксплуатации.</t>
  </si>
  <si>
    <t>3281ff45-9205-46f0-9545-55822b710f53</t>
  </si>
  <si>
    <t>Виртуальный ассистент</t>
  </si>
  <si>
    <t>Валуева А.В.</t>
  </si>
  <si>
    <t>Распознавание речи (Automated Speech Recognition (ASR) / speech-to-text (STT))</t>
  </si>
  <si>
    <t>В докладе разберем, как устроен виртуальный ассистент на базе распознавания речи: от захвата аудио и предобработки до преобразования речи в текст и обработки команд. Обсудим выбор ASR/STT-движка, требования к качеству (WER), задержке и устойчивости к шуму, а также компромиссы между облачным и on-device распознаванием. Покажем типичный пайплайн: детекция речи, потоковая транскрибация, нормализация текста и извлечение интентов для запуска действий в приложении. Отдельно затронем вопросы приватности, хранения аудиоданных и работы в офлайне. В конце — практические рекомендации по интеграции, тестированию и мониторингу качества распознавания в продакшене.</t>
  </si>
  <si>
    <t>b557f62f-906a-4a69-af72-aedcf0b5a590</t>
  </si>
  <si>
    <t>Речевые технологии Х5</t>
  </si>
  <si>
    <t>Марфутенко П.А.</t>
  </si>
  <si>
    <t>Распознавание речи (Automated Speech Recognition (ASR) / speech-to-text (STT)), Синтез речи (Speech Synthesis / text-to-speech (TTS))</t>
  </si>
  <si>
    <t>В докладе расскажем, как в Х5 используются речевые технологии для улучшения клиентского и операционного опыта: от распознавания речи до синтеза. Разберем типовые сценарии — голосовой ввод и поиск, автоматизация колл-центра, расшифровка и анализ диалогов, а также озвучивание подсказок и статусов. Обсудим, как устроен пайплайн ASR/TTS в продакшене: сбор и разметка данных, выбор моделей, качество (WER/MOS), работа с шумом, акцентами и доменной лексикой. Покажем, как обеспечиваются задержки и стабильность в реальном времени, а также как интегрировать решения в мобильные и серверные продукты. Отдельно затронем вопросы безопасности и приватности голосовых данных и подходы к мониторингу качества после релиза. В конце поделимся практическими выводами и направлениями развития речевых сервисов в экосистеме Х5.</t>
  </si>
  <si>
    <t>08f8a369-d0fd-4cee-838e-565e49547a41</t>
  </si>
  <si>
    <t>Улучшение качества диаризации с помощью end-to-end моделей</t>
  </si>
  <si>
    <t>Аржа А.Н.</t>
  </si>
  <si>
    <t>Диаризация — ключевой этап обработки аудио, от которого зависит качество расшифровок, аналитики и последующей работы с речью. В докладе разберем, почему классические пайплайны «сегментация + эмбеддинги + кластеризация» часто дают ошибки на перекрывающейся речи, шуме и коротких репликах, и как end-to-end подходи помогают уменьшить их число. Обсудим архитектурные идеи современных E2E-моделей диаризации, способы обучения на разметке «кто когда говорит» и интеграцию с ASR для получения более стабильных спикерных меток в транскрипте. Покажем, какие метрики и протоколы оценки использовать, чтобы сравнение было честным, и какие данные/аугментации сильнее всего влияют на итог. Отдельно затронем практические вопросы: требования к вычислениям, задержки в онлайне и типичные точки отказа в продакшене. В результате вы получите набор рекомендаций, как выбрать и внедрить E2E-диаризацию в реальный speech-to-text сервис.</t>
  </si>
  <si>
    <t>a4e0f3b0-224a-43de-b5f1-5fa461dc61b6</t>
  </si>
  <si>
    <t>Высоконагруженная система транскрибации речи</t>
  </si>
  <si>
    <t>Леонтьев Р.Д.</t>
  </si>
  <si>
    <t>ASR</t>
  </si>
  <si>
    <t>В докладе разберем, как спроектировать и запустить высоконагруженную систему автоматического распознавания речи (ASR), способную обрабатывать большие потоки аудио в реальном времени и пакетном режиме. Поговорим о выборе и интеграции ASR-моделей, требованиях к качеству транскрибации и способах измерения точности на продакшен-данных. Покажем типовую архитектуру: прием аудио, очереди и шардирование, сервисы инференса, постобработка (пунктуация, диаризация, нормализация) и выдача результатов. Отдельно обсудим масштабирование по CPU/GPU, оптимизацию задержек, кэширование и управление стоимостью вычислений. Затронем надежность: деградации, ретраи, идемпотентность, мониторинг и алертинг, а также работу с «плохим» аудио и всплесками нагрузки. В конце — практические рекомендации по эксплуатации, тестированию и безопасной обработке аудиоданных.</t>
  </si>
  <si>
    <t>79c201b3-616d-429b-b680-e97039343746</t>
  </si>
  <si>
    <t>Разработка End-to-End пайплайна для исследований в области синтеза речи</t>
  </si>
  <si>
    <t>Лалетин А.И.</t>
  </si>
  <si>
    <t>Recsys / предиктивная аналитика, Обучение с подкреплением</t>
  </si>
  <si>
    <t>В докладе расскажем, как построить end-to-end пайплайн для исследовательских экспериментов в синтезе речи — от подготовки данных и обучения моделей до автоматической оценки качества и доставки результатов в продакшен-контур. Разберем, как организовать воспроизводимость: версионирование датасетов, конфигураций, артефактов и метрик, а также быстрые итерации при смене архитектур и признаков. Покажем, где в таком пайплайне применимы подходы из рекомендательных систем и предиктивной аналитики: персонализация голоса, адаптация под пользователя и прогнозирование качества/ошибок генерации. Отдельно обсудим использование обучения с подкреплением для оптимизации субъективных критериев (естественность, разборчивость, стиль) и приближения к человеческим предпочтениям. Затронем практические вопросы: выбор метрик, построение офлайн/онлайн-экспериментов и контроль деградаций. В итоге вы получите набор архитектурных и организационных решений, которые ускоряют исследования и делают их результаты переносимыми в продукт.</t>
  </si>
  <si>
    <t>d6a68412-32d0-4366-b2ee-f7e83773177b</t>
  </si>
  <si>
    <t>Обучение с подкреплением для оптимизации рекомендательных систем с помощью недифференциеруемых ранжирущих метрик</t>
  </si>
  <si>
    <t>Халтурин А., Сайфуллин В., Чернов А.</t>
  </si>
  <si>
    <t>RL, Recsys</t>
  </si>
  <si>
    <t>В рекомендательных системах бизнес-цели часто выражаются через недифференцируемые ранжирующие метрики — NDCG, MAP, MRR и другие, — из‑за чего стандартное градиентное обучение оптимизирует лишь прокси-лоссы и теряет связь с реальным качеством. В докладе разберем, как формулировать задачу ранжирования как задачу обучения с подкреплением: что считать состоянием, действием и наградой, и как корректно задавать награду под целевую метрику. Обсудим подходы policy gradient и actor-critic для обучения ранжирующих политик, а также способы снижения дисперсии и стабилизации обучения при разреженных наградах. Отдельно затронем практические вопросы: оффлайн-обучение по логам, борьбу со смещением из-за политики сбора данных и безопасное онлайн-обновление через A/B-тесты. На примерах покажем, когда RL действительно дает прирост по целевым метрикам и какие компромиссы возникают по латентности, интерпретируемости и рискам деградации.</t>
  </si>
  <si>
    <t>55299c77-7427-4156-a14c-373eaaa72de0</t>
  </si>
  <si>
    <t>RL-среда для обучения агентских возможностей современных LLM</t>
  </si>
  <si>
    <t>Балцат К.И.</t>
  </si>
  <si>
    <t>Автономные агенты</t>
  </si>
  <si>
    <t>В докладе представим RL-среду, предназначенную для обучения и оценки агентских возможностей современных больших языковых моделей. Разберем, какие навыки «агента» можно формализовать в виде задач: постановка целей, планирование, использование инструментов, работа с памятью и безопасное выполнение действий в среде. Покажем, как устроены сценарии и метрики, позволяющие измерять прогресс не только по качеству ответов, но и по успешности многошаговых траекторий и устойчивости к ошибкам. Обсудим, как организовать обучение с подкреплением и обратной связью, чтобы уменьшить галлюцинации в действиях и повысить надежность автономного поведения. Отдельно затронем вопросы воспроизводимости, симуляции внешних систем и ограничения, которые важно учитывать при переносе результатов в реальные приложения. В итоге вы получите практическое понимание того, как строить стенды для «агентного» обучения LLM и какие эксперименты дают наибольший прирост.</t>
  </si>
  <si>
    <t>2569fb05-f558-494e-a2fa-af2991f572ae</t>
  </si>
  <si>
    <t>GigaStudio</t>
  </si>
  <si>
    <t>Тельнов Ф.Н.</t>
  </si>
  <si>
    <t>В докладе рассмотрим GigaStudio как практическую среду для работы с LLM: от прототипирования до внедрения в продуктовые сценарии. Обсудим, как собирать и тестировать промпты, управлять контекстом и качеством ответов, а также снижать стоимость и задержки. Разберем типовые пайплайны: RAG по внутренним данным, инструменты (tools/function calling), агенты и оркестрация цепочек. Отдельно поговорим о безопасности: утечки данных, prompt injection и контроль доступа к источникам знаний. Покажем, как измерять качество (оценки, A/B, автоматические метрики) и выстраивать процесс итераций в команде. В итоге вы получите набор подходов, позволяющих быстрее и надежнее запускать LLM-функции в реальных приложениях.</t>
  </si>
  <si>
    <t>bfa734a7-c046-43bd-b8f7-b0d6aaebf7ba</t>
  </si>
  <si>
    <t>Исследование возможности использования генеративных моделей в задаче оценки состояния различных объектов на ПВЗ Wildberries</t>
  </si>
  <si>
    <t>Никитина А.А.</t>
  </si>
  <si>
    <t>CV, GenAI</t>
  </si>
  <si>
    <t>В докладе рассмотрим, как генеративные модели могут применяться для автоматизированной оценки состояния объектов на пунктах выдачи заказов Wildberries. Обсудим постановку задачи и источники данных: фотографии и видеопотоки, типовые сценарии повреждений и отклонений, а также требования к качеству и скорости обработки. Покажем, как сочетать компьютерное зрение и GenAI для описания дефектов, классификации состояния и формирования понятных отчётов для операционных команд. Разберём подходы к обучению и донастройке моделей, работу с разметкой и борьбу с шумом и доменными сдвигами между ПВЗ. Отдельно затронем вопросы валидации, интерпретируемости и снижения галлюцинаций при принятии решений. В завершение сравним результаты с классическими CV-пайплайнами и обсудим, где генеративный подход даёт максимальный эффект в продакшене.</t>
  </si>
  <si>
    <t>63de3fc2-21bd-4c3c-8b04-7835aad36d9a</t>
  </si>
  <si>
    <t>Разработка сервиса для обработки и анализа логов на основе искусственного интеллекта</t>
  </si>
  <si>
    <t>Бадриев А.Р.</t>
  </si>
  <si>
    <t>В докладе расскажем о создании сервиса, который автоматически собирает, нормализует и анализирует логи приложений с помощью моделей искусственного интеллекта. Разберем, как из неструктурированных сообщений выделять события, параметры и контекст, чтобы ускорить поиск причин инцидентов и снизить шум от алертов. Покажем подходы к кластеризации похожих ошибок, обнаружению аномалий и построению кратких сводок по проблемам для инженеров. Обсудим архитектуру пайплайна: от ingestion и хранения до обучения/инференса и интеграций с системами мониторинга. Отдельно затронем вопросы качества данных, приватности и безопасной работы с чувствительными логами. В конце поделимся практическими результатами, метриками эффективности и планом развития сервиса.</t>
  </si>
  <si>
    <t>66c3a57a-fb4d-4ec9-b385-9475ca8de935</t>
  </si>
  <si>
    <t>Генеративный сервис для дизайнеров</t>
  </si>
  <si>
    <t>Папенко В.</t>
  </si>
  <si>
    <t>В докладе расскажем о создании генеративного сервиса, который помогает дизайнерам быстрее получать варианты визуальных решений и прототипов. Разберем, как связка GenAI и компьютерного зрения позволяет понимать исходные референсы, бренд‑гайд и контекст задачи, а затем генерировать согласованные макеты и ассеты. Поговорим о пайплайне: подготовка данных, выбор и дообучение моделей, контроль качества и защита от «галлюцинаций» в продакшене. Покажем, как устроены подсказки и инструменты редактирования, чтобы дизайнер оставался в роли автора, а не наблюдателя. Отдельно обсудим интеграцию в привычные дизайн‑процессы и метрики, по которым измеряли ускорение работы и стабильность результата. Завершим практическими выводами: где сервис дает максимальный эффект, а где генерация пока уступает ручной работе.</t>
  </si>
  <si>
    <t>6fc731fb-9175-42a5-b562-eb1b72738af8</t>
  </si>
  <si>
    <t>Лапка в Лапку.</t>
  </si>
  <si>
    <t>Ильясов Т.К., Остапчук А.В.</t>
  </si>
  <si>
    <t>NLP, Recsys</t>
  </si>
  <si>
    <t>«Лапка в Лапку» — социальная сеть, которая помогает людям находить питомцев из приютов, максимально подходящих под их образ жизни и ожидания. В докладе разберем, как объединить анкетные данные, поведенческие сигналы и текстовые описания животных в единую модель подбора. Покажем, как NLP используется для нормализации и извлечения смысловых признаков из историй, медицинских заметок и комментариев волонтеров, чтобы улучшить качество поиска и фильтрации. Обсудим рекомендательную систему: холодный старт, баланс между «похожим» и «новым», а также учет ограничений (аллергии, дети, другие животные, условия проживания). Отдельно затронем вопросы справедливости и безопасности: как не «прятать» сложных животных и как избегать токсичных сценариев в социальной части продукта. Завершим метриками качества и практическими выводами о том, как рекомендациям и языковым моделям реально повышать шанс успешного пристройства.</t>
  </si>
  <si>
    <t>45232dbd-b6f7-4326-bdbf-8227e467062b</t>
  </si>
  <si>
    <t>Разработка MVP-прототипа интеллектуальной игрушки AI-компаньона для детей 3–12 лет</t>
  </si>
  <si>
    <t>Овчинникова Ю.В., Татьяненко А.Д.</t>
  </si>
  <si>
    <t>В докладе расскажем о разработке MVP интеллектуальной игрушки AI-компаньона для детей 3–12 лет: от гипотез и сценариев использования до первого работающего прототипа. Разберем, как с помощью рекомендательных подходов и предиктивной аналитики персонализировать диалоги, игры и обучающие задания под возраст, интересы и динамику развития ребенка. Покажем, какие данные можно собирать безопасно и минимально достаточно, как строить профили и сегменты без переусложнения модели и как оценивать качество рекомендаций в условиях малого трафика. Обсудим архитектуру пайплайна: события, фичи, модели, онлайновые решения и обратную связь от ребенка и родителей. Отдельно затронем вопросы надежности, контроля контента и предотвращения нежелательных рекомендаций. Завершим списком метрик и критериев готовности MVP к пилоту.</t>
  </si>
  <si>
    <t>31f67935-f59b-4cfa-8df4-eb556fc1e0ee</t>
  </si>
  <si>
    <t>Задача ранжирования и кандидатогенерации товаров в маркетплейсе</t>
  </si>
  <si>
    <t>Онбаев Б.</t>
  </si>
  <si>
    <t>computer vision, NLP</t>
  </si>
  <si>
    <t>В докладе разберем, как устроены два ключевых этапа поиска в маркетплейсе: генерация кандидатов и финальное ранжирование товаров. Обсудим, какие сигналы используются для понимания запроса и карточек товара, и как объединять текстовые и визуальные признаки, чтобы улучшать релевантность. Поговорим о моделях для быстрого отбора кандидатов (двухбашенные эмбеддинги, ANN-поиск) и о более «тяжелых» ранжирующих моделях, которые учитывают контекст пользователя и бизнес-ограничения. Отдельно затронем проблемы холодного старта, длинного хвоста ассортимента и борьбы с шумом в данных кликов и покупок. Покажем подходы к офлайн/онлайн-оценке качества, A/B-тестированию и контролю деградаций. В итоге вы получите практическую картину того, как построить масштабируемый пайплайн поиска, который одновременно точен, быстрый и устойчивый к изменениям каталога.</t>
  </si>
  <si>
    <t>13123e3d-db06-46c8-b093-b004b6eb07e9</t>
  </si>
  <si>
    <t>Проектирование системы, использующей методы машинного обучения для повышения продуктивности людей</t>
  </si>
  <si>
    <t>Ворков Н.Р.</t>
  </si>
  <si>
    <t>NLP, Автономные агенты</t>
  </si>
  <si>
    <t>В докладе разберем проектирование системы, которая повышает личную и командную продуктивность за счет методов машинного обучения. Покажем, как связка NLP и автономных агентов может превращать разрозненные задачи, письма и заметки в структурированный план действий: от извлечения намерений и приоритизации до автоматического делегирования и контроля выполнения. Обсудим архитектуру: сбор контекста, оркестрация агентов, память и правила безопасности, а также интеграции с календарем, трекерами задач и корпоративными знаниями. Отдельно рассмотрим качество — метрики полезности, снижение «галлюцинаций», объяснимость рекомендаций и контуры обратной связи от пользователя. Затронем вопросы приватности и доступа к данным, чтобы система помогала, не нарушая границы и политики компании. В конце покажем типовые сценарии и практические шаги, с которых можно начать внедрение такого ассистента.</t>
  </si>
  <si>
    <t>33fb81b0-411d-40e6-8bc1-d75ba4b406b8</t>
  </si>
  <si>
    <t>ReqAssist — инструмент, который помогает формулировать и уточнять требования с помощью автономных агентов. В докладе разберем, как агенты собирают контекст от стейкхолдеров, выявляют пробелы и противоречия, а затем предлагают варианты user stories, acceptance criteria и сценариев. Поговорим о том, как организовать цикл «вопрос–ответ–проверка», чтобы агент не галлюцинировал и оставался привязанным к источникам. Покажем архитектурные паттерны: разделение ролей агентов, память, планирование задач и контроль качества. Отдельно обсудим интеграцию в привычные процессы — трекеры задач, документацию и CI — и метрики, по которым можно измерять пользу. В конце — типичные риски (безопасность, доступы, ответственность) и практики, которые позволяют безопасно внедрять ReqAssist в команду.</t>
  </si>
  <si>
    <t>9072663b-c74d-4ebd-8ba6-d5e13eabc9c3</t>
  </si>
  <si>
    <t>MediAI — AI медиатор для пар</t>
  </si>
  <si>
    <t>Москаленко Я.А.</t>
  </si>
  <si>
    <t>LLM, Assistants</t>
  </si>
  <si>
    <t>MediAI — ассистент на базе LLM, который помогает парам вести сложные разговоры спокойнее и продуктивнее. В докладе разберем, как устроен «медиатор»: он задает уточняющие вопросы, фиксирует позиции сторон, подсвечивает потребности и помогает сформулировать договоренности без взаимных обвинений. Поговорим о сценариях использования — от бытовых конфликтов до обсуждения финансов и границ — и о том, как ассистент удерживает нейтральный тон и структуру диалога. Отдельно затронем безопасность: приватность переписки, минимизацию данных и ограничения, чтобы не подменять терапию и не давать опасных советов. Покажем, как проектировать промпты и контекст, чтобы LLM не «принимала сторону» и корректно работала с эмоциями. В конце обсудим метрики качества и способы тестирования, чтобы MediAI действительно снижал накал и повышал шанс договориться.</t>
  </si>
  <si>
    <t>528ca6bc-3852-483f-b482-5f7f9a398342</t>
  </si>
  <si>
    <t>CV-helper</t>
  </si>
  <si>
    <t>Захаров Д.А.</t>
  </si>
  <si>
    <t>CV-helper — инструмент на базе NLP, который помогает быстро улучшать резюме и сопроводительные письма под конкретные вакансии. В основе решения — автономные агенты, которые анализируют текст CV, требования из описания позиции и предлагают точечные правки: формулировки достижений, структуру, ключевые навыки и метрики. Система выявляет пробелы и несоответствия, подсказывает, какие проекты и результаты стоит подчеркнуть, и помогает убрать «воду» и клише. Отдельный агент отвечает за проверку читаемости и единый стиль, другой — за адаптацию под разные роли и уровни (junior/middle/senior). В докладе разберем архитектуру агентов, пайплайн обработки текста и примеры до/после, а также ограничения и риски автоматизации при работе с персональными данными.</t>
  </si>
  <si>
    <t>38ba560b-70d5-4e7b-8ae2-e70fc32d0a0a</t>
  </si>
  <si>
    <t>Kuvio</t>
  </si>
  <si>
    <t>Волков А.М.</t>
  </si>
  <si>
    <t>В докладе расскажем о проекте Kuvio — применении машинного обучения в финтехе для улучшения качества решений и пользовательского опыта. Разберем, какие бизнес-задачи закрывает ML: скоринг, выявление мошенничества, прогнозирование поведения клиентов и персонализация предложений. Поговорим о данных: источниках, очистке, борьбе с утечками и смещениями, а также о том, как выстроить надежный пайплайн обучения и валидации. Отдельное внимание уделим интерпретируемости моделей и требованиям регуляторов, чтобы решения можно было объяснять и защищать. Покажем, как организовать мониторинг качества в продакшене, реагировать на дрейф и безопасно обновлять модели. Завершим практическими выводами о том, что действительно дает эффект в финтехе и какие ошибки чаще всего «съедают» пользу от ML.</t>
  </si>
  <si>
    <t>ae8902f8-3b57-43fd-86d7-724a5d8e8731</t>
  </si>
  <si>
    <t>Разработка Q&amp;A-системы для ответов на вопросы по риск-моделированию на основании документации ЦБ</t>
  </si>
  <si>
    <t>Незамутдинов А.Р.</t>
  </si>
  <si>
    <t>NLP,Автономные агенты</t>
  </si>
  <si>
    <t>В докладе расскажем о создании Q&amp;A-системы, которая отвечает на вопросы по риск-моделированию, опираясь на нормативную и методологическую документацию Центрального банка. Разберем, как организовать пайплайн извлечения и актуализации источников, чтобы ответы оставались проверяемыми и привязанными к конкретным пунктам документов. Покажем, как NLP-компоненты и retrieval-подходы помогают находить релевантные фрагменты, устранять неоднозначности терминов и поддерживать контекст сложных запросов. Отдельно обсудим роль автономных агентов: разбиение задачи на шаги, уточняющие вопросы к пользователю, проверку полноты и самоконтроль качества ответа. Затронем вопросы комплаенса: цитирование, трассируемость, ограничения на «галлюцинации» и безопасные режимы генерации. В финале поделимся практическими метриками качества и типовыми ошибками, которые возникают при работе с регуляторными текстами.</t>
  </si>
  <si>
    <t>7d694758-3051-451e-a5f6-8c56acb63dac</t>
  </si>
  <si>
    <t>Self-service аналитика на основе ИИ</t>
  </si>
  <si>
    <t>Волков С.А.</t>
  </si>
  <si>
    <t>Analytics</t>
  </si>
  <si>
    <t>Доклад посвящен тому, как построить self-service аналитику, в которой бизнес-пользователи получают ответы на вопросы без участия аналитиков и инженеров. Разберем, как ИИ помогает переводить запросы на естественном языке в метрики, сегменты и отчеты, а также снижать порог входа в работу с данными. Поговорим о качестве: валидации результатов, объяснимости, контроле доступа и предотвращении «галлюцинаций» на уровне данных и семантического слоя. Покажем типовую архитектуру решения — от источников и витрин до чат-интерфейса и мониторинга использования. Обсудим, какие сценарии дают максимальный эффект (ad-hoc вопросы, поиск инсайтов, автоматизация регулярной отчетности) и где остаются ограничения. В конце — практические рекомендации по внедрению и метрики, по которым можно оценить успех self-service подхода.</t>
  </si>
  <si>
    <t>time</t>
  </si>
  <si>
    <t>info</t>
  </si>
  <si>
    <t>tags</t>
  </si>
  <si>
    <t>Персонализированное ранжирование каталога для мобильного приложения доставки еды Много Лосося</t>
  </si>
  <si>
    <t>NastavnikAI - платформа персонализированного адаптивного обучения</t>
  </si>
  <si>
    <t>Сабирова Миляуша Марселевна</t>
  </si>
  <si>
    <t>Всеволод Богодист</t>
  </si>
  <si>
    <t>Повышение эффективности роевого взаимодействия БПЛА за счёт применения алгоритмов машинного обучения.</t>
  </si>
  <si>
    <t>Система автоматической генерации рекламных баннеров.</t>
  </si>
  <si>
    <t>Система автоматического сбора и анализа корпоративных событий и данных облигационного рынка России с применением методов машинного обучения для оценки рисков.</t>
  </si>
  <si>
    <t>Интеллектуальный агент на базе LLM для оценки эффекта интервенций и генерации причинно‑следственных интерпретаций</t>
  </si>
  <si>
    <t>MAS Retrieval для автоматизиции бизнес процесса обработки документов</t>
  </si>
  <si>
    <t>Ресерч по созданию модели для автомодерации маркетплейса Озон</t>
  </si>
  <si>
    <t>Разработка AI ассистента для отдела продаж</t>
  </si>
  <si>
    <t>RL-среда для обучения агентских возможностей соверменных LLM</t>
  </si>
  <si>
    <t>Лапка в Лапку. Социальная сеть для поиска питомцев из приюта, которые подходят вам.</t>
  </si>
  <si>
    <t>Разработка MVP-прототипа интеллектуальной игрушки AI-компаньона для детей 3-12 лет</t>
  </si>
  <si>
    <t>Проектирование системы использующей методы машинного обучения для повышения продуктивности людей</t>
  </si>
  <si>
    <t>MediAI - AI медиатор для пар</t>
  </si>
  <si>
    <t>self-service аналитика на основе ИИ</t>
  </si>
  <si>
    <t>Интуиция        
Борисов Андрей Сергеевич, Глухов Николай Юрьевич, Плехов Родион Константинович</t>
  </si>
  <si>
    <t>Образовательный курс "Тестирование Гипотез"        
Иванов Даниил Юрьевич</t>
  </si>
  <si>
    <t>Образовательный курс «Тестирование гипотез»</t>
  </si>
  <si>
    <t>AI-ассистент для курса “Теория и история международных отношений”
Муравьёва Наталья Васильевна</t>
  </si>
  <si>
    <t>Курс по машинному обучению для НИУ ВШЭ
Рустамова Дарина Дмитриевна</t>
  </si>
  <si>
    <t>СОВА: Сопровождающий Образовательный Виртуальный Ассистент        
Сазанаков Данил Васильевич, Сиворакша Тимофей Андреевич, Уколов Степан Дмитриевич</t>
  </si>
  <si>
    <t>AI teacher helper — ИИ-помощник для учителя и ученика        
Деулин Никита Викторович</t>
  </si>
  <si>
    <t>AI teacher helper — ИИ-помощник для учителя и ученика</t>
  </si>
  <si>
    <t>TensorTalks        
Бусько Никита Алексеевич, Рычков Павел Андреевич</t>
  </si>
  <si>
    <t>Разработка курса Воркшоп по прототипированию игрового агента        
Балицкий Семён Дмитриевич</t>
  </si>
  <si>
    <t>NLP, Автономные модели, Распознавание речи, Синтез речи</t>
  </si>
  <si>
    <t>Разработка курса: воркшоп по прототипированию игрового агента</t>
  </si>
  <si>
    <t>Разработка автономного тренажёра для обучения AI Security        
Чернятов Адель Евгеньевич, Кириллов Александр Игоревич, Фейгинова Милена Дмитриевна, Низамов Тимур Дамирович</t>
  </si>
  <si>
    <t>EdTech, NLP, Автономные агенты</t>
  </si>
  <si>
    <t>ЖигулИИ Trainer: Платформа автоматизированной проверки учебных заданий с поддержкой DevOps/MLOps практик       
 Протасов Яков Александрович, Дорофеев Данил Александрович, Ерофеев Дмитрий Андреевич, Попов Владимир Алексеевич</t>
  </si>
  <si>
    <t>Воркшоп по разработке ИИ-персонажа       
 Славкин Владислав Витальевич</t>
  </si>
  <si>
    <t>AI StudyPath Mentor        
Еникеев Тимур Русланович</t>
  </si>
  <si>
    <t>NLP, Автономные агенты, EdTech</t>
  </si>
  <si>
    <t>Построение индивидуальной траектории развития AITH       
 Горбунов Никита Сергеевич, Мынко Семён Андреевич, Сидорова Анна Павловна</t>
  </si>
  <si>
    <t>EdTech, Recsys / предиктивная аналитика, NLP, CV</t>
  </si>
  <si>
    <t>Сервис кандидатогенерации на основе векторного поиска       
 Карсаков Григорий Вячеславович</t>
  </si>
  <si>
    <t>HR-Assistant        
Осинцев Михаил Максимович, Тенишев Никита Сергеевич, Теняев Александр Иванович</t>
  </si>
  <si>
    <t>HR-matcher       
 Гурциев Ричард Зурабович</t>
  </si>
  <si>
    <t>Lacmus Search	
Позднякова Мария Павловна</t>
  </si>
  <si>
    <t>Карьерник        
Хайрутдинов Тагир Рамилевич</t>
  </si>
  <si>
    <t>AI-компаньон для профориентации        
Булдаков Никита Владиславович, Карпова Анна Алексеевна, Мухамедов Эмиль Дамирович, Цыкунов Александр Сергеевич, Цыбин Владислав Вячеславович</t>
  </si>
  <si>
    <t>Автономные агенты, EdTech, Recsys, NLP</t>
  </si>
  <si>
    <t>НАËМ        
Воробьев Алексей Дмитриевич, Головачева Анастасия Павловна, Демидов Даниил Романович, Демьянов Александр Сергеевич, Головкин Иван Алексеевич, Воропай Ольга Алексеевна</t>
  </si>
  <si>
    <t>Praxis-core / praxis-core        
Калинин Александр Сергеевич, Луняков Алексей Александрович, Полетаев Владислав Александрович, Чуфистов Георгий Александрович</t>
  </si>
  <si>
    <t>Автономные агенты, NLP</t>
  </si>
  <si>
    <t>Sales mentor AI
Паршиков Алексей Владимирович</t>
  </si>
  <si>
    <t xml:space="preserve">EdTech			</t>
  </si>
  <si>
    <t>DealRocket - сервис поиска B2B клиентов        
Сафронов Александр Анатольевич, Колташев Ярослав Андреевич</t>
  </si>
  <si>
    <t>DealRocket — сервис поиска B2B клиентов</t>
  </si>
  <si>
    <t>Генерация AI-агентов на JVM-фреймворках: продуктово-технический сравнительный анализ и улучшение поддержки LLM на примере Koog
Федотова Евгения Романовна</t>
  </si>
  <si>
    <t>Agents</t>
  </si>
  <si>
    <t>Генерация AI-агентов на JVM-фреймворках: продуктово-технический сравнительный анализ и улучшение поддержки LLM на примере Koog</t>
  </si>
  <si>
    <t>Рекомендательный Doc2Doc сервис товарных картинок       
 Аристархов Захар Григорьевич, Доронин Иван Владимирович, Аржа Антон Насерович</t>
  </si>
  <si>
    <t xml:space="preserve">Система для оценки качества работы операторов тех поддержки по аудиозаписям их разговоров с покупателем
Набиуллин Иван Павлович
</t>
  </si>
  <si>
    <t>Система для оценки качества работы операторов техподдержки по аудиозаписям разговоров с покупателем</t>
  </si>
  <si>
    <t>Fixly	
Галиева Регина Равкатовна</t>
  </si>
  <si>
    <t>CV категоризация e-commerce товаров
Суслов Михаил Анатольевич</t>
  </si>
  <si>
    <t>Computer Vision</t>
  </si>
  <si>
    <t>Predisense
Орлова Ольга Витальевна</t>
  </si>
  <si>
    <t>Проекты Х5        
Деникаев Эмиль Рамилевич</t>
  </si>
  <si>
    <t>Синтез речи</t>
  </si>
  <si>
    <t>Expired Product Detector        
Михалевич Максим Алексеевич</t>
  </si>
  <si>
    <t>Recsys, Временные ряды</t>
  </si>
  <si>
    <t xml:space="preserve">LexFlow
Шевцов Виктор Александрович
</t>
  </si>
  <si>
    <t xml:space="preserve">EdTech, NLP
</t>
  </si>
  <si>
    <t>WideResearcher        
Аспаев Никита Андреевич</t>
  </si>
  <si>
    <t>Джейн - AI ассистент преподователя        
Станкевич Сергей Викторович</t>
  </si>
  <si>
    <t>Джейн — AI ассистент преподавателя</t>
  </si>
  <si>
    <t>SAYIT        
Чыонг Хюинь Дык, Иргит Айдыс Антонович, Юдин Кирилл Александрович</t>
  </si>
  <si>
    <t>NLP, Автономные агенты, Распознавание речи, Синтез речи</t>
  </si>
  <si>
    <t>ИИ-ассистент для LMS Moodle        
Кирильцев Даниил Александрович, Трофимов Анатолий Юрьевич</t>
  </si>
  <si>
    <t>CV, NLP, EdTech</t>
  </si>
  <si>
    <t>RAGL	
Головченко Владислав Евгеньевич</t>
  </si>
  <si>
    <t>HART        
Кушнир Алексей Александович</t>
  </si>
  <si>
    <t xml:space="preserve">GenomeAI        
Вишняков Данил Иванович, Цой Надежда, Ворсин Егор Дмитриевич,Жиров Андрей Витальевич </t>
  </si>
  <si>
    <t>Естественные науки + ML, Recsys, NLP, Автономные агенты</t>
  </si>
  <si>
    <t>Рекомендательная система докладов для JUG        
Юдина Юлия Андреевна, Струков Артур Павлович, Пивнев Игорь Алексеевич</t>
  </si>
  <si>
    <t>Сервис интеллектуального поиска по строительной документации
Лаптев Андрей Владимирович,Малбашич Данило Горанович</t>
  </si>
  <si>
    <t>OCR, LLM</t>
  </si>
  <si>
    <t>Memorix        
Павлов Игорь Владимирович</t>
  </si>
  <si>
    <t>Adapstory        
Ожаховская Татьяна Игоревна, Нигамадянов Фанис Магефурович, Бокарев Степан Михайлович</t>
  </si>
  <si>
    <t>VLMHyperBench        
Ширяев Антон Дмитриевич</t>
  </si>
  <si>
    <t>LLM и VLM</t>
  </si>
  <si>
    <t>AgentArea - Платформа для построения агентских сетей        
Горбунов Дмитрий Павлович</t>
  </si>
  <si>
    <t>AgentArea — платформа для построения агентских сетей</t>
  </si>
  <si>
    <t xml:space="preserve">AI Агент для автоматизированного управления инфраструктурой пользователя
Устинов Кирилл Евгеньевич
</t>
  </si>
  <si>
    <t>Агент small-talk
Еншов Владимир Вячеславович</t>
  </si>
  <si>
    <t>Avrora Assistant (Ассистент)        
Резитдинов Азат Рамилевич</t>
  </si>
  <si>
    <t>LLM Agents Uncertainty	
Егоров Егор Александрович</t>
  </si>
  <si>
    <t>Агентская система аналитики разметки        Лукоянова Василиса Анатольевна</t>
  </si>
  <si>
    <t>Автоматизация формирования сетевых планов	
Есаулова Наталья Андреевна, Казанцев Даниил Андреевич</t>
  </si>
  <si>
    <t>ML в промышленности,Автономные агенты</t>
  </si>
  <si>
    <t>Turbo Sorter: AI Security        
Кажекин Денис Андреевич,Кремнева Полина Перовна, Стог Владислав Григорьевич</t>
  </si>
  <si>
    <t>MCP-сервер для llamator        
Неронов Роман Михайлович, Иванов Никита Андреевич</t>
  </si>
  <si>
    <t>LLM, Red Teaming, Security</t>
  </si>
  <si>
    <t>AI Security Lab Benchmark        
Грищенко Владимир Олегович, Кочнев Герман Евгеньевич</t>
  </si>
  <si>
    <t>BAD — модуль анализа активности        
Смирнов Тимур Олегович</t>
  </si>
  <si>
    <t>BAD — модуль анализа активности</t>
  </si>
  <si>
    <t>Мониторинг уязвимостей агентных систем	
Калиманова Анастасия Тарасовна</t>
  </si>
  <si>
    <t>RAG verification        
Коновалов Максим Александрович, Мацаков Борис Вячеславович</t>
  </si>
  <si>
    <t>Ассистент для LMS Moodle        
Гуй Цици, Кирильцев Даниил Александрович</t>
  </si>
  <si>
    <t>Улучшение системы бенчмаркинга LLM
Дягин Эрнест Александрович</t>
  </si>
  <si>
    <t>RAG система автоматизации саппорта
Басов Марк Игоревич</t>
  </si>
  <si>
    <t>Гео-эмбеддинги        
Киселев Георгий Александрович</t>
  </si>
  <si>
    <t>GeoML, Recsys</t>
  </si>
  <si>
    <t>Сервис геоаналитики на открытых данных        
Максимова Полина Юрьевна</t>
  </si>
  <si>
    <t>Естественные науки + ML</t>
  </si>
  <si>
    <t>Узнай город
Акпаньонниде Видоле Сидуане, Гайдук Екатерина Дмитриевна, Смольянов Николай Андреевич</t>
  </si>
  <si>
    <t>CV, NLP, ML в промышленности</t>
  </si>
  <si>
    <t>GO:AIway	
Дианаев Амир Радикович, Потапов Кирилл Дмитриевич, Семчёнок Владимир Дмитриевич</t>
  </si>
  <si>
    <t>Valde        
Яковлев Владислав Леонидович</t>
  </si>
  <si>
    <t>Recsys / предиктивная аналитика, NLP</t>
  </si>
  <si>
    <t>Сервис поиска по структурированной информации        
Гумеров Булат Рамилевич</t>
  </si>
  <si>
    <t>Интеллектуальный поиск для GminiSoft        
Лапин А., Малбашич Д.</t>
  </si>
  <si>
    <t>CV, ML в промышленности</t>
  </si>
  <si>
    <t xml:space="preserve">Сегментация клиентов и рекомендации продуктов
Сорвин Егор Денисович
</t>
  </si>
  <si>
    <t>Recsys / предиктивная аналитика,</t>
  </si>
  <si>
    <t>Подготовка и ресерч данных для GigaChat      
 Захарова Виктория Андреевна</t>
  </si>
  <si>
    <t>Перенос текущей рекомендательной системы ВК знакомств на новую микросервисную архитектуру. Разработка новой рекомендательной системы, повышающую кол-во взаимностей на платформе.
Прохоров Степан Игоревич</t>
  </si>
  <si>
    <t>Recsys, Backend</t>
  </si>
  <si>
    <t>AI - Researcher        
Артемьев Никита Дмитриевич, Иванова Вера Владимировна</t>
  </si>
  <si>
    <t>Quick Insight        
Муранов Данил Александрович</t>
  </si>
  <si>
    <t>Нейростримерша NetTyan        
Бондарчук Анастасия Ивановна, Жук Михаил Дмитриевич, Иваненков Александр Сергеевич</t>
  </si>
  <si>
    <t>Проект Mindescape 3D        
Михайлов Владимир Владимирович</t>
  </si>
  <si>
    <t>Пайплайн синтеза данных в 3D-среде для дообучения нейроредактора изображений        
Федоров Георгий Александрович</t>
  </si>
  <si>
    <t>GenDraft3D        
Орлова Ангелина Николаевна</t>
  </si>
  <si>
    <t>Static Avatars	
Романенко Ярослав Александрович</t>
  </si>
  <si>
    <t>AI Media Producer        
Айрапетов Тигран Эдуардович, Мугайских Сергей Всеволодович, Чупеев Андрей Дмитриевич</t>
  </si>
  <si>
    <t>Computer Vision Autolabeling
Ефименко Алексей Дмитриевич</t>
  </si>
  <si>
    <t>MLизация игровых механик        
Лившиц Лев Павлович, Щукин Никита Юрьевич</t>
  </si>
  <si>
    <t>Classic ML + AB-тесты</t>
  </si>
  <si>
    <t>AI Singularity        
Пономарев Артем Сергеевич</t>
  </si>
  <si>
    <t>МРТ
Миллер Алина Игоревна, Аптуков Михаил Ильдусович</t>
  </si>
  <si>
    <t>SkinCare AI	
Кондауров Валерий Валерьевич</t>
  </si>
  <si>
    <t>CV, Recsys / предиктивная аналитика</t>
  </si>
  <si>
    <t>Применение LLM для автоматизации бизнес-процессов ПАО Норильский Никель        
Ильин Г., Поляков Е., Редько Д., Сухова Е.</t>
  </si>
  <si>
    <t>ML в промышленности, RAG, NLP, Автономные агенты</t>
  </si>
  <si>
    <t>Record Linkage: ML-система сопоставления каталогов        
Меньшиков Илья Владимирович</t>
  </si>
  <si>
    <t>ML в промышленности, NLP</t>
  </si>
  <si>
    <t>Контур ИИ аналитика        
Аверченко Марк Алексеевич, Тихановский Дмитрий Александрович</t>
  </si>
  <si>
    <t>NLP задачи в Мегафон        
Чернышев Алексей Андреевич</t>
  </si>
  <si>
    <t>ScribeAI        
Харьковской Роман Русланович</t>
  </si>
  <si>
    <t>Платформа рантайм инференса векторных моделей        
Люльчак Павел Игоревич</t>
  </si>
  <si>
    <t>Recsys, ML в промышленности</t>
  </si>
  <si>
    <t>Прокопий       
 Половников Николай, Попов Владислав Николаевич, Руденко Илья Александрович, Черняков Николай Николаевич</t>
  </si>
  <si>
    <t>CV, NLP, Автономные агенты</t>
  </si>
  <si>
    <t>Агролаб        
Григорьев Игорь Михайлович</t>
  </si>
  <si>
    <t>NeonPay        
Матюшков Андрей Николаевич, Кононенко Яна Дмитриевна</t>
  </si>
  <si>
    <t>VoxBud - личный оффлайн финансовый ассистент на базе ИИ        
Банников Анатолий</t>
  </si>
  <si>
    <t>VoxBud — личный оффлайн финансовый ассистент на базе ИИ</t>
  </si>
  <si>
    <t>Adaptive Assessment Engine: система генерации, валидации и динамической оценки знаний        
Чангалиди Антон Ильич</t>
  </si>
  <si>
    <t>ML в Fintech,NLP</t>
  </si>
  <si>
    <t xml:space="preserve">Doobучение VLM под задачу KIE на банковских документах        
Иванов Матвей Андреевич       </t>
  </si>
  <si>
    <t>ML в Fintech, CV</t>
  </si>
  <si>
    <t>Дообучение VLM под задачу KIE на банковских документах</t>
  </si>
  <si>
    <t>Индивидуальное ценообразование вкладов        
Тимофеев Владислав Дмитриевич</t>
  </si>
  <si>
    <t>Развитие розничного моделирования в ПАО Газпромбанк        
Романов Евгений Валериевич</t>
  </si>
  <si>
    <t>Сервис геоаналитики	
Сенина Анна Семёновна</t>
  </si>
  <si>
    <t>Сервис геоаналитики</t>
  </si>
  <si>
    <t>Цифровая бухгалтерия        
Данилаева Софья Дмитриевна</t>
  </si>
  <si>
    <t xml:space="preserve">ИИ Таможенный Декларант        
Лукин Семен Олегович"      </t>
  </si>
  <si>
    <t>CV, NLP, RegTech</t>
  </si>
  <si>
    <t xml:space="preserve">Мультимодальная система оценки рисков финансовых организаций (SupTech Risk Radar) 
Мурзаев Никита Игоревич
</t>
  </si>
  <si>
    <t>Recsys / предиктивная аналитика, Временные ряды, финтех</t>
  </si>
  <si>
    <t>Gradient        
Полежаев Федор Максимович</t>
  </si>
  <si>
    <t>Временные ряды, Обучение с подкреплением, Естественные науки + ML, ML в промышленности</t>
  </si>
  <si>
    <t>GranTutor: LLM-система калибровки экспертизы        
Варапаев Эрик Родионович, Четвергов Андрей Сергеевич, Шарафетдинов Ринат Саярович</t>
  </si>
  <si>
    <t>NLP, LLM, Recsys</t>
  </si>
  <si>
    <t>Развитие TS ML ядра очистных сооружений      
 Дипнер Семён Павлович</t>
  </si>
  <si>
    <t>ML в промышленности, Временные ряды</t>
  </si>
  <si>
    <t>Развитие TS ML ядра очистных сооружений</t>
  </si>
  <si>
    <t>ИИ-ассистент для фермеров        
Розанов Константин Александрович</t>
  </si>
  <si>
    <t>RAG, Агентные системы, MCP</t>
  </si>
  <si>
    <t>AI-навигация по строительному объекту      
  Пшеничников Артём Сергеевич</t>
  </si>
  <si>
    <t>Автономная LLM-система верифицируемого знания	
Боев Савелий Сергеевич, Матвиенко Даниил Владимирович, Сабиров Сардор Таваккилжонович</t>
  </si>
  <si>
    <t xml:space="preserve">Productive Social        
Миамбо Жуниор Рикардо        </t>
  </si>
  <si>
    <t>HandMarket        
Макаров Михаил Владимирович</t>
  </si>
  <si>
    <t>Поисковый ассистент для фармацевтического ритейла
Пчельникова Екатерина Семеновна</t>
  </si>
  <si>
    <t>Biogotchi        
Батраков Сергей Владимирович</t>
  </si>
  <si>
    <t>Автоматическое селф-ревью студенческих проектов	
Дойников Андрей Владимирович</t>
  </si>
  <si>
    <t>Проверка заданий 2 части ЕГЭ с помощью LLM
Лопатин Михаил Александрович</t>
  </si>
  <si>
    <t>Матчинг адресов	
Вегера Дарья Андреевна</t>
  </si>
  <si>
    <t>Галка	
Безуглова Екатерина Дмитриевна</t>
  </si>
  <si>
    <t>Умный генератор коммерческих предложений	
Новиков Тимофей Витальевич</t>
  </si>
  <si>
    <t>Голосовой тренажер для операторов поддержки	
Дувакин Кирилл Борисович, Койфман Давид Эдуардович, Решетняк Анна Александровна</t>
  </si>
  <si>
    <t>NLP, Распознавание и синтез речи, ML</t>
  </si>
  <si>
    <t>Desa Identity	
Моисеенков Владислав Юрьевич</t>
  </si>
  <si>
    <t>Информационная безопасность (IAM) + LLM</t>
  </si>
  <si>
    <t>Интеллектуальная автоматизация ETL и визуализации        
Заводов Андрей Владиславович</t>
  </si>
  <si>
    <t>Text2SQL ассистент для аналитики	
Куляскин Михаил Олегович</t>
  </si>
  <si>
    <t>ReqAssist	
Бутомов Артем Сергеевич</t>
  </si>
  <si>
    <t>AgentArea	
Астапенко Артем Олегович</t>
  </si>
  <si>
    <t>MediaTracking        
Сенин Аркадий Максимович, Тепляков Николай Александрович, Серов Семен Юрьевич</t>
  </si>
  <si>
    <t>Backend, NLP</t>
  </si>
  <si>
    <t>Помощник оператора call-центра
Курченко Михаил Алексеевич, Федоров Макар Мизайлович</t>
  </si>
  <si>
    <t>ASR, RAG и LLM</t>
  </si>
  <si>
    <t>MODERA FASHION	
Бодров Егор Алексеевич, Оноре Глеб Станиславович</t>
  </si>
  <si>
    <t>AIDA (AI Dialog Assistant)        
Иванов Андрей Александевич</t>
  </si>
  <si>
    <t>HiveTrace - система мониторинга LLM-приложений        
Тищенко Анна Александровна, Минко Богдан Сергеевич</t>
  </si>
  <si>
    <t>ML в промышленности, NLP, Автономные агенты</t>
  </si>
  <si>
    <t>HiveTrace — система мониторинга LLM‑приложений</t>
  </si>
  <si>
    <t xml:space="preserve">LOOQS AI        
Хажиев Роберт Ринатович, Барабанщиков Лев </t>
  </si>
  <si>
    <t>AI Sport Support	
Конева Анастасия Романовна, Конева Анна Романовна</t>
  </si>
  <si>
    <t>Разработка комплекса моделей для прогнозирования гололёдных явлений        
Сажин Борис Олегович</t>
  </si>
  <si>
    <t>koteln(ai)a	
Шишкин Павел Егорович</t>
  </si>
  <si>
    <t>AI-ассистент для аварийного обслуживания оборудования        
Горшкова Юлия Александровна, Дубенский Артём Юрьевич, Рассинин Максим Вячеславович</t>
  </si>
  <si>
    <t>Retopoflow - ретопология 3d моделей на основе ИИ	
Ширшов Дмитрий Эдуардович</t>
  </si>
  <si>
    <t>Retopoflow — AI‑based retopology for 3D models</t>
  </si>
  <si>
    <t>Biogotchi x Genotek        
Смирнов Илья Сергеевич</t>
  </si>
  <si>
    <t>Страновые рейтинги        
Шалашов Андрей Алексеевич</t>
  </si>
  <si>
    <t xml:space="preserve">AIDI        
Аланова Ширин, Волосников Кирилл Денисович,Босина Анастасия Вячеславовна </t>
  </si>
  <si>
    <t>GigaSchool проект      
Легранд Иван Александрович</t>
  </si>
  <si>
    <t>Manuspect Briefing Platform        
Зайченко Даниил Дмитриевич, Захаров Даниил Антонович, Закиров Тимур Альбертович, Сухов Андрей Александрович</t>
  </si>
  <si>
    <t>Manuspect        
Евтушенко Виталий Николаевич, Кирдяшкин Максим Александрович, Обласов Сергей Валерьевич, Сухов Андрей Александрович, Сахневич Кирилл Русланович</t>
  </si>
  <si>
    <t>NLP, Автономные агенты, Распознавание речи</t>
  </si>
  <si>
    <t>SampleAI       
 Дорошкевич Александр Николаевич</t>
  </si>
  <si>
    <t>ИИ в музыке (сепарация, транскрибация)</t>
  </si>
  <si>
    <t>GoalMate       
Нилова Юлия Владимировна, Бегушева Элина Ураловна</t>
  </si>
  <si>
    <t xml:space="preserve">AutoCV
Макаров Михаил Владимирович
</t>
  </si>
  <si>
    <t>Контур ИИ аналитик	
Захаров Никита</t>
  </si>
  <si>
    <t>Нить	
Гапеева Анастасия Викторовна, Фирсанов Георгий Александрович</t>
  </si>
  <si>
    <t>EIDOS      
Масленникова Татьяна Михайловна</t>
  </si>
  <si>
    <t>PsyGhost	
Григорьева Дарья</t>
  </si>
  <si>
    <t>NLP, Обучение с подкреплением</t>
  </si>
  <si>
    <t>Predisense - ИИ-аналитик трендов для Wildberries        
Поляков Эдуард Дмитриевич</t>
  </si>
  <si>
    <t>Predisense — ИИ-аналитик трендов для Wildberries</t>
  </si>
  <si>
    <t>SocraticMath	
Савелко Дмитрий Александович</t>
  </si>
  <si>
    <t>TOPIK Master
Бутаков Максим Павлович</t>
  </si>
  <si>
    <t>SYNTERA        
Адамов Михаил Сергеевич</t>
  </si>
  <si>
    <t>authors</t>
  </si>
  <si>
    <t>Доклад посвящен тому, как развивать и применять интуицию в образовательных продуктах и процессах обучения. Авторы разберут, из чего складываются «интуитивные» решения у преподавателей, методистов и продуктовых команд и как отличать полезные эвристики от когнитивных искажений. Поговорим о том, как превращать неявный опыт в проверяемые гипотезы: через наблюдения, быстрые эксперименты и данные об учебном поведении. Покажем, как проектировать интерфейсы и учебные сценарии так, чтобы они были понятны без инструкций и снижали когнитивную нагрузку. Отдельно обсудим, как обучать интуиции: практики рефлексии, разбор кейсов и обратная связь, которые ускоряют рост экспертизы. В итоге участники получат набор приемов, помогающих принимать решения быстрее, не теряя качества, и улучшать эффективность EdTech-продуктов.</t>
  </si>
  <si>
    <t>Курс посвящен тому, как быстро и надежно проверять продуктовые и бизнес‑гипотезы, снижая риск дорогих ошибок. Разберем полный цикл: формулировка гипотезы и метрик успеха, выбор метода проверки, планирование эксперимента и интерпретация результатов. Участники научатся отличать причинно‑следственные эффекты от корреляций, учитывать смещения и типичные ловушки A/B‑тестов и опросов. На практических заданиях отработаем дизайн экспериментов, расчет минимального эффекта и принятие решений по итогам данных. Отдельное внимание уделим коммуникации результатов со стейкхолдерами и внедрению культуры экспериментов в команде. По завершении у слушателей будет набор шаблонов и чек‑листов для регулярного тестирования гипотез в реальных проектах.</t>
  </si>
  <si>
    <t>В докладе представлен AI-ассистент, разработанный для поддержки студентов на курсе «Теория и история международных отношений». Решение помогает разбирать ключевые теории и школы, ориентироваться в исторических периодах и терминологии, а также готовиться к семинарам и контрольным. Ассистент предлагает персонализированные подсказки, вопросы для самопроверки и краткие конспекты по темам, снижая порог входа в сложный материал. Отдельное внимание уделяется методике внедрения в учебный процесс: сценариям использования, роли преподавателя и формированию академической добросовестности. Рассматриваются подходы к оценке качества ответов, работе с источниками и снижению рисков галлюцинаций. В завершение обсуждаются результаты пилотного применения и планы развития инструмента.</t>
  </si>
  <si>
    <t>В докладе представлен учебный курс по машинному обучению, разработанный для студентов НИУ ВШЭ и ориентированный на практическое применение методов ML. Рассмотрим структуру программы: от базовых понятий и подготовки данных до обучения моделей, оценки качества и интерпретации результатов. Поговорим о том, как выстроены практические задания и проекты на реальных датасетах, чтобы закреплять теорию и развивать навыки работы с инструментами индустрии. Отдельное внимание уделим методике преподавания: формату занятий, системе контроля знаний и поддержке студентов. Покажем, какие компетенции формируются по итогам курса и как они соотносятся с требованиями рынка. Также обсудим, как курс масштабируется и обновляется под новые подходы и инструменты.</t>
  </si>
  <si>
    <t>В докладе представим СОВУ — виртуального ассистента для сопровождения обучения, который помогает студентам ориентироваться в материалах, планировать занятия и получать ответы на вопросы по курсу. Расскажем, как с помощью методов NLP ассистент понимает запросы на естественном языке, извлекает релевантные фрагменты из учебного контента и формирует подсказки и рекомендации. Покажем сценарии использования в EdTech: поддержка самостоятельной работы, разбор типичных ошибок и персонализированные напоминания о дедлайнах. Обсудим архитектуру решения, требования к данным и подходы к оценке качества ответов и полезности рекомендаций. Отдельно затронем вопросы безопасности и академической честности: как ограничивать галлюцинации и не подменять самостоятельное выполнение заданий. В завершение поделимся результатами пилотирования и планами развития функциональности.</t>
  </si>
  <si>
    <t>В докладе представлен AI teacher helper — ИИ-помощник, который автоматизирует рутинные задачи учителя и помогает ученику учиться более осознанно. Рассмотрим, как с помощью NLP система генерирует и адаптирует учебные материалы: объяснения, конспекты, задания и проверочные вопросы под уровень и цели пользователя. Покажем сценарии для учителя: подготовка урока, создание вариантов контрольных, проверка работ с комментариями и выявление типичных ошибок класса. Для ученика — диалоговый разбор тем, подсказки по решению задач, тренировка по слабым местам и персональные рекомендации. Отдельно обсудим качество ответов, снижение галлюцинаций, безопасность данных и этические ограничения при использовании ИИ в образовании. В завершение поделимся результатами пилотного внедрения и планом развития продукта.</t>
  </si>
  <si>
    <t>В докладе представим TensorTalks — EdTech-платформу, которая использует методы NLP для улучшения обучения через диалоговые сценарии. Расскажем, как устроен пайплайн обработки текста: от сбора и очистки данных до извлечения смысла, оценки ответов и генерации персонализированной обратной связи. Покажем, как система помогает преподавателям автоматизировать проверку открытых заданий и формировать рекомендации по дальнейшим шагам обучения. Обсудим метрики качества, типичные ошибки моделей (галлюцинации, смещения, «хрупкость» формулировок) и способы их снижения. Отдельно затронем вопросы приватности и безопасной работы с учебными данными, а также интеграцию решения в существующие образовательные процессы.</t>
  </si>
  <si>
    <t>В докладе расскажу, как был спроектирован и собран учебный воркшоп, в котором участники за короткое время прототипируют игрового агента с «человеческим» интерфейсом общения. Разберем структуру курса: от постановки задач и выбора сценария игры до сборки пайплайна NLP, распознавания и синтеза речи. Покажу, как использовать автономные (локальные) модели, чтобы агент работал без постоянного подключения к облаку, и какие компромиссы это накладывает на качество и производительность. Обсудим практические упражнения: настройка ASR/TTS, управление диалогом, обработка ошибок и тестирование интерактивности. Отдельно затронем критерии оценки результатов и типовые проблемы, с которыми сталкиваются новички при интеграции речевых компонентов в игровой цикл.</t>
  </si>
  <si>
    <t>Балицкий С.Д.</t>
  </si>
  <si>
    <t>В докладе представим автономный тренажёр для обучения практикам AI Security, ориентированный на работу с современными NLP/LLM‑системами. Платформа моделирует реальные сценарии: prompt‑инъекции, утечки данных, обход политик, злоупотребление инструментами и агентами, а также ошибки в настройке прав и контекстов. Мы расскажем, как устроены симуляции с автономными агентами, которые играют роли атакующего и защитника, и как формируется обратная связь по действиям обучаемого. Покажем подход к генерации заданий и оцениванию решений: метрики риска, воспроизводимость кейсов и контроль сложности. Обсудим архитектуру тренажёра, требования к изоляции и безопасности, а также интеграцию в образовательные программы. В конце поделимся результатами пилотирования и планами развития контента и сценариев.</t>
  </si>
  <si>
    <t>В докладе представим ЖигулИИ Trainer — платформу для автоматизированной проверки учебных заданий, которая объединяет подходы EdTech и современные практики DevOps/MLOps. Расскажем, как система принимает решения по проверке: от анализа текста и кода с помощью NLP до использования автономных агентов для разбиения задачи на шаги, генерации обратной связи и повторной валидации результата. Покажем, как устроены пайплайны обучения и доставки моделей, контроль качества датасетов и воспроизводимость экспериментов, а также мониторинг качества проверок в продакшене. Обсудим механизмы безопасного запуска проверок, версионирование правил и моделей, а также работу с «пограничными» ответами и апелляциями. Отдельно затронем, как платформа помогает преподавателям снижать нагрузку и поддерживать единые критерии оценивания при масштабировании курсов. Завершим практическими кейсами внедрения и рекомендациями по интеграции в существующую образовательную инфраструктуру.</t>
  </si>
  <si>
    <t>На воркшопе разберем, как спроектировать и собрать ИИ‑персонажа — от идеи и роли в продукте до работающего прототипа. Обсудим, как задавать «характер» через системные инструкции, память, цели и ограничения, чтобы поведение было устойчивым и предсказуемым. На практике настроим диалоговый контур на базе NLP: интенты, контекст, инструменты и сценарии обучения/подсказок для EdTech‑задач. Отдельно рассмотрим автономные агенты: планирование действий, вызов внешних функций, безопасные политики и контроль качества ответов. В конце участники получат чек‑лист архитектуры и набор приемов для тестирования, оценки и итеративного улучшения персонажа под реальные учебные кейсы.</t>
  </si>
  <si>
    <t>Славкин В.В</t>
  </si>
  <si>
    <t>В докладе представлен AI StudyPath Mentor — EdTech-решение, которое с помощью NLP помогает студентам и специалистам строить персональные траектории обучения под конкретные цели и ограничения по времени. Спикер расскажет, как система извлекает навыки из описаний вакансий и учебных материалов, выявляет пробелы и формирует пошаговый план с приоритетами и контрольными точками. Отдельное внимание уделим автономным агентам: как они уточняют запрос пользователя, подбирают ресурсы, проверяют прогресс и адаптируют маршрут по результатам. Обсудим архитектуру, качество рекомендаций, способы снижения галлюцинаций и обеспечения воспроизводимости советов. Также затронем вопросы приватности данных и интеграции с LMS/трекерами задач. В конце — демонстрация сценариев использования и метрик, по которым оценивается эффективность наставника.</t>
  </si>
  <si>
    <t>В докладе расскажем, как в AITH строится индивидуальная траектория развития для каждого обучающегося на основе данных об успеваемости, активности и целях. Покажем, как рекомендательная система и предиктивная аналитика помогают подбирать следующий контент, задания и проекты, а также прогнозировать риски отставания и точки, где нужен наставник. Разберем роль NLP в анализе текстовых ответов, обратной связи и формулировок целей, чтобы точнее оценивать навыки и мотивацию. Обсудим применение CV для проверки практических работ и автоматизации оценки артефактов обучения (например, изображений, схем или рукописных решений). Отдельно затронем вопросы качества рекомендаций: метрики, A/B‑эксперименты и способы борьбы с «туннельным» эффектом персонализации. Завершим практическими выводами о том, как внедрить подобную систему в EdTech-продукт и какие данные и процессы для этого критичны.</t>
  </si>
  <si>
    <t>В докладе рассматривается построение сервиса кандидатогенерации для рекомендательных и предиктивных сценариев на базе векторного поиска. Обсудим, как представлять пользователей и объекты в виде эмбеддингов, выбирать модель и стратегию обучения, а также формировать индекс для быстрого nearest-neighbor поиска. Разберем архитектуру пайплайна: подготовку данных, офлайн-генерацию кандидатов, онлайн-ранжирование и контуры обновления эмбеддингов. Поговорим о метриках качества и скорости (recall@k, latency, coverage), A/B‑проверках и типичных источниках деградации. Отдельно затронем вопросы эксплуатации: холодный старт, дрейф данных, мониторинг и стоимость инфраструктуры. В итоге слушатели получат практическое представление о том, как внедрить векторный candidate generation в продукт и масштабировать его под реальные нагрузки.</t>
  </si>
  <si>
    <t>В докладе представим HR-Assistant — помощника для автоматизации части задач рекрутинга на базе методов NLP. Расскажем, как система извлекает ключевые навыки и опыт из резюме, сопоставляет их с требованиями вакансий и формирует ранжированный список кандидатов. Обсудим обработку неструктурированного текста, работу с русскоязычными данными и типичные проблемы качества: неоднозначность формулировок, шум и неполные сведения. Покажем подход к оценке точности рекомендаций и снижению смещений, чтобы результаты были интерпретируемыми и полезными для HR и нанимающих менеджеров. Отдельно затронем вопросы приватности и безопасной работы с персональными данными при внедрении решения в компании.</t>
  </si>
  <si>
    <t>В докладе представлен HR-matcher — инструмент на основе NLP для автоматического сопоставления резюме и вакансий. Разберем, как извлекать из текстов ключевые навыки, опыт и требования, нормализовать их и приводить к единому словарю. Поговорим о построении эмбеддингов и метриках близости, позволяющих ранжировать кандидатов и объяснять, почему они подходят на роль. Отдельно затронем работу с шумными данными: разными форматами резюме, синонимами, опечатками и неоднозначными формулировками. Покажем, как оценивать качество матчинга и снижать смещения, чтобы рекомендации оставались справедливыми и полезными рекрутерам. В конце обсудим варианты интеграции решения в HR-процессы и ограничения, о которых важно помнить при внедрении.</t>
  </si>
  <si>
    <t>В докладе представлен Lacmus Search — поисковый модуль, использующий методы NLP для более точного понимания пользовательских запросов. Разберем, как обрабатываются естественный язык, опечатки и вариативные формулировки, чтобы улучшить релевантность выдачи. Поговорим о построении пайплайна: нормализация текста, извлечение сущностей и ранжирование результатов. Отдельно затронем оценку качества поиска и подбор метрик, позволяющих сравнивать версии модели и алгоритмов. В завершение обсудим типичные сложности внедрения NLP-поиска в продукт и практические подходы к их решению.</t>
  </si>
  <si>
    <t>Доклад посвящен тому, как выстроить осознанную карьерную траекторию в IT с опорой на практики EdTech. Разберем, как оценить текущие навыки, сформировать цель и превратить ее в план обучения с измеримыми результатами. Поговорим о выборе форматов: курсы, менторство, проектная практика и как сочетать их, чтобы не выгореть и не застрять в «вечном обучении». Отдельно обсудим, как собирать портфолио и подтверждать компетенции через кейсы, тестовые задания и публичные артефакты. В конце — чек-лист инструментов и привычек, которые помогают регулярно получать обратную связь и ускорять рост.</t>
  </si>
  <si>
    <t>В докладе представим AI-компаньона, который помогает пользователю разобраться в интересах и сильных сторонах и подобрать подходящие направления обучения и карьеры. Решение сочетает NLP-диалоги и автономных агентов: один агент собирает контекст и цели, другой уточняет навыки через мини-опросы и задания, третий формирует персональные рекомендации. Рекомендательная система сопоставляет профиль пользователя с профессиями, образовательными треками и вакансиями, объясняя, почему предложен тот или иной вариант. Покажем, как мы строим онтологию навыков, работаем с неопределенностью ответов и избегаем «галлюцинаций» за счет проверок, источников и правил безопасности. Обсудим метрики качества (точность рекомендаций, удовлетворенность, удержание) и результаты пилота в образовательном контуре. Завершим практическими выводами о внедрении такого компаньона в EdTech-продукты и дальнейших шагах развития.</t>
  </si>
  <si>
    <t>В докладе представим проект «НАЁМ» — систему для автоматизации первичного подбора персонала на базе мультимодального NLP. Мы объединяем анализ резюме (CV) с голосовым интерфейсом: распознаем речь кандидата (ASR), извлекаем ключевые факты и компетенции и сопоставляем их с требованиями вакансии. Для интерактивного сценария используем синтез речи (TTS), чтобы проводить структурированное интервью и уточнять пробелы в данных. Покажем пайплайн обработки, подходы к нормализации и ранжированию кандидатов, а также метрики качества для текста и аудио. Отдельно обсудим практические ограничения: шум, акценты, безопасность персональных данных и снижение галлюцинаций в извлечении фактов. Завершим демонстрацией прототипа и планом развития продукта.</t>
  </si>
  <si>
    <t>В докладе представим Praxis-core — ядро для построения автономных агентных систем на базе NLP. Разберем архитектуру: как агент интерпретирует запрос, планирует шаги, выбирает инструменты и контролирует выполнение задач. Покажем, как организованы память, контекст и управление состоянием, чтобы агент оставался устойчивым и предсказуемым в длительных сценариях. Обсудим интеграцию с внешними источниками данных и сервисами, а также подходы к оценке качества и безопасности действий агента. Завершим практическими примерами применения Praxis-core в продуктовых задачах и рекомендациями по внедрению.</t>
  </si>
  <si>
    <t>Доклад посвящен созданию Sales mentor AI — ИИ-наставника для обучения и поддержки менеджеров по продажам в формате EdTech. Разберем, какие навыки можно развивать с помощью симуляций диалогов, разборов звонков и персонализированных рекомендаций, а также как строится траектория обучения на основе данных о прогрессе. Поговорим о сценариях внедрения в корпоративное обучение: онбординг, регулярная практика, оценка компетенций и подготовка к аттестациям. Отдельно затронем требования к качеству контента и обратной связи, чтобы рекомендации были применимыми и измеримо улучшали результаты. В конце обсудим метрики эффективности и типовые риски: галлюцинации, конфиденциальность данных и принятие инструмента командой.</t>
  </si>
  <si>
    <t>DealRocket — сервис, который помогает компаниям находить релевантных B2B‑клиентов и ускорять продажи за счет обработки больших массивов открытых и внутренних данных. В докладе разберем, как NLP используется для извлечения сигналов из текстов: описаний компаний, вакансий, новостей, сайтов и переписок, чтобы точнее определять профиль и потребности потенциального лида. Покажем подходы к нормализации и обогащению данных, построению семантического поиска и ранжированию кандидатов по степени соответствия ICP. Обсудим, как оценивать качество рекомендаций и снижать шум: дубликаты, неоднозначные названия, «похожие, но не те» компании. Отдельно затронем вопросы внедрения в продукт: пайплайн обновления данных, интерпретируемость результатов для менеджеров и контроль ошибок модели. В итоге вы получите практическое представление о том, как превратить NLP‑модели в работающий B2B‑инструмент лидогенерации.</t>
  </si>
  <si>
    <t>В докладе разберем, как сегодня устроена разработка и генерация AI-агентов в экосистеме JVM и какие фреймворки реально подходят для продуктовых задач. Сравним подходы к оркестрации агентных сценариев, работе с инструментами (tools), памятью, контекстом и интеграциями, а также обсудим компромиссы по скорости внедрения, наблюдаемости и стоимости эксплуатации. Отдельно рассмотрим типовые проблемы поддержки LLM на JVM: управление промптами и контекстным окном, стриминг, ретраи, лимиты провайдеров и тестируемость. На примере Koog покажем, какие улучшения в поддержке LLM дают наибольший эффект для качества ответов и стабильности агентных пайплайнов. В итоге участники получат практическую матрицу выбора фреймворка и набор рекомендаций, как довести агентную архитектуру до продакшена без лишней сложности.</t>
  </si>
  <si>
    <t>В докладе расскажем о сервисе Doc2Doc-рекомендаций, который подбирает похожие товарные изображения для карточек каталога и помогает улучшать поиск, мерчандайзинг и качество контента. Разберем, как объединяются компьютерное зрение и текстовые сигналы: эмбеддинги изображений, метаданные и описания товаров, а также способы их совместного ранжирования. Покажем, как строится пайплайн от сбора и очистки данных до обучения моделей, индексации векторного пространства и выдачи рекомендаций с низкой задержкой. Обсудим, как решаются типичные проблемы e-commerce: дубликаты, разные ракурсы и фоны, сезонность, холодный старт и дрейф ассортимента. Отдельно затронем офлайн- и онлайн-оценку качества, A/B-тесты и метрики, которые лучше всего коррелируют с бизнес-эффектом. В завершение поделимся практическими выводами по эксплуатации сервиса и направлениями развития — от мультимодальных моделей до персонализации.</t>
  </si>
  <si>
    <t>В докладе представлен подход к автоматизированной оценке качества работы операторов техподдержки на основе аудиозаписей их диалогов с покупателями. Ключевым компонентом решения выступает распознавание речи (ASR/STT), которое переводит разговор в текст для дальнейшего анализа. Рассмотрим, как из транскриптов извлекать метрики качества: соблюдение скрипта, полноту сбора данных, корректность формулировок, вежливость и признаки эскалации конфликта. Поговорим о типичных проблемах реальных звонков — шум, перебивания, акценты — и о том, как они влияют на точность оценки и какие меры помогают снизить ошибки. Отдельное внимание уделим построению пайплайна: разметке данных, валидации качества распознавания и интеграции результатов в отчеты для руководителей и обучения операторов. В конце обсудим ограничения автоматической оценки и способы сочетать ее с выборочным ручным контролем для повышения доверия к системе.</t>
  </si>
  <si>
    <t>В докладе представим Fixly — концепт решения на базе NLP и автономных агентов, которое помогает пользователю быстрее разбираться с задачами и «чинить» процессы: от постановки проблемы до выполнения шагов и проверки результата. Разберем, как агент понимает запрос на естественном языке, уточняет контекст, планирует действия и распределяет их между специализированными подагентами. Покажем архитектуру: оркестратор, инструменты (поиск, базы знаний, интеграции), память и контуры безопасности для контролируемого выполнения. Обсудим, как оценивать качество: точность понимания, устойчивость к неоднозначности, стоимость выполнения и надежность в реальных сценариях. Отдельно затронем риски автономности — галлюцинации, утечки данных и ошибочные действия — и практики их снижения через ограничения, валидацию и человек-в-контуре. В конце — демонстрация типовых кейсов и план развития продукта.</t>
  </si>
  <si>
    <t>В докладе разберем, как с помощью Computer Vision автоматизировать категоризацию товаров в e-commerce и снизить долю ручной разметки. Обсудим типичный пайплайн: сбор и очистка изображений, подготовка датасета, выбор архитектуры (классификация, мультилейбл, иерархия категорий) и обучение модели. Поговорим о практических проблемах — шумных данных, похожих товарах, вариативности ракурсов и упаковок — и способах повысить качество через аугментации и hard negative mining. Отдельно затронем метрики и валидацию в условиях дисбаланса классов, а также контроль качества на проде и мониторинг дрейфа. Завершим тем, как встроить модель в каталог: от офлайн-переобогащения до онлайновой подсказки категории и обработки новых SKU.</t>
  </si>
  <si>
    <t>Доклад посвящен Predisense — подходу к построению рекомендательных систем на базе предиктивной аналитики, который помогает заранее понимать намерения пользователя и предлагать релевантные действия в нужный момент. Разберем, какие данные и сигналы можно использовать, как формулировать целевые метрики и выбирать модельный стек под задачу. Поговорим о типовом пайплайне: сбор событий, подготовка фич, обучение, онлайн-инференс и мониторинг качества в продакшене. Отдельно затронем практические вопросы: холодный старт, дрейф данных, интерпретируемость и контроль смещений. Покажем, как оценивать эффект рекомендаций через A/B‑тесты и как увязать ML-метрики с бизнес-результатом. В итоге вы получите набор принципов и решений, позволяющих внедрять предиктивные рекомендации устойчиво и безопасно для продукта.</t>
  </si>
  <si>
    <t>В докладе будет представлен обзор ключевых проектов Х5 и их технологической основы, с фокусом на внедрение синтеза речи в клиентские и внутренние продукты. Разберем, какие бизнес-сценарии закрывает TTS: озвучивание интерфейсов, голосовые подсказки, доступность и автоматизация коммуникаций. Поговорим о выборе движка и архитектуре интеграции — облачной и on-device — а также о требованиях к качеству голоса, задержкам и стоимости. Отдельно затронем вопросы безопасности данных, локализации и поддержки нескольких языков и голосов. Завершим практическими выводами: метрики качества, типовые ошибки внедрения и рекомендации по масштабированию решения в экосистеме компании.</t>
  </si>
  <si>
    <t>Доклад посвящен системе автоматического выявления просроченных товаров на основе рекомендательных подходов и анализа временных рядов. Рассмотрим, как из истории продаж, поставок и списаний строить прогнозы сроков оборачиваемости и вероятности «залеживания» по SKU и магазинам. Поговорим о признаках сезонности, промо-эффектов и аномалий, а также о том, как объединять модели временных рядов с ранжированием для приоритизации проверок и списаний. Отдельное внимание уделим постановке задачи: какие метрики оптимизировать, как учитывать стоимость ошибок и ограниченные ресурсы персонала. Покажем типовой пайплайн от подготовки данных до внедрения алертов и мониторинга качества в продакшене. В результате слушатели получат практическое понимание, как снизить потери и повысить доступность свежих товаров за счет данных и моделей.</t>
  </si>
  <si>
    <t>В докладе будет представлен LexFlow — EdTech-решение для изучения лексики, построенное на технологиях NLP. Разберем, как система извлекает ключевые слова и устойчивые выражения из текстов пользователя и превращает их в персональные упражнения. Поговорим о пайплайне обработки языка: нормализация, лемматизация, оценка сложности и подбор контекста для запоминания. Покажем, как алгоритмы выявляют пробелы в знаниях и планируют повторения, чтобы ускорить прогресс без перегрузки. Отдельно обсудим метрики качества: точность выделения лексики, удержание слов и влияние персонализации на вовлеченность. В завершение — архитектура сервиса и практические выводы для тех, кто хочет применять NLP в образовательных продуктах.</t>
  </si>
  <si>
    <t>В докладе представлен WideResearcher — инструмент для широкого исследования текстовых данных на базе методов NLP. Разберем, как он помогает быстро собирать, очищать и нормализовать корпус, а затем извлекать ключевые сущности, темы и связи между ними. Поговорим о типовом пайплайне: от подготовки данных и выбора эмбеддингов до кластеризации и суммаризации результатов. Отдельное внимание уделим оценке качества: метрикам, ручной валидации и поиску источников ошибок. Покажем практические сценарии применения — от анализа отзывов и поддержки до разведки по документам и конкурентного анализа. В конце обсудим ограничения подхода и направления развития: мультиязычность, доменная адаптация и снижение галлюцинаций.</t>
  </si>
  <si>
    <t>В докладе представлен «Джейн» — AI‑ассистент для преподавателей, который автоматизирует рутинные задачи и помогает улучшать качество обучения. Рассмотрим, как с помощью NLP ассистент анализирует учебные материалы и ответы студентов, формирует подсказки, проверочные вопросы и черновики обратной связи. Поговорим о сценариях применения в LMS и мессенджерах: от подготовки занятий и генерации заданий до поддержки студентов между парами. Отдельно обсудим требования к данным, приватность и способы снизить риск галлюцинаций и предвзятости в рекомендациях. Покажем результаты пилотного внедрения и метрики, по которым оценивалась польза для преподавателя и студентов.</t>
  </si>
  <si>
    <t>В докладе представим SAYIT — систему голосового взаимодействия, объединяющую распознавание и синтез речи с современными NLP-моделями. Покажем, как построить разговорный интерфейс, который не просто отвечает на запросы, а действует как автономный агент: уточняет цель, планирует шаги и выполняет сценарии в приложении или сервисе. Разберем архитектуру пайплайна «аудио → текст → понимание → действие → ответ», а также ключевые решения по качеству распознавания, естественности озвучивания и управлению контекстом диалога. Обсудим способы снижения задержек, устойчивость к шуму и ошибки распознавания, а также подходы к оценке качества на реальных данных. Отдельно затронем вопросы безопасности и контроля действий агента, чтобы голосовые команды оставались предсказуемыми и проверяемыми. В конце покажем демо и практические рекомендации по внедрению SAYIT в продукт.</t>
  </si>
  <si>
    <t>В докладе представим ИИ-ассистента, интегрированного в LMS Moodle, который помогает студентам и преподавателям в повседневной работе с курсами. Ассистент использует методы NLP для ответов на вопросы по материалам, навигации по курсу, кратких конспектов и автоматизации рутинных действий (поиск заданий, дедлайнов, критериев оценивания). Компоненты CV применяются для обработки визуального контента: распознавания текста и схем в загруженных файлах, а также извлечения информации из сканов и изображений. Обсудим архитектуру решения, варианты развертывания и интеграции с плагинной экосистемой Moodle, а также требования к данным и качеству ответов. Отдельно разберем вопросы безопасности, приватности и академической честности, включая контроль источников и логирование. Покажем сценарии использования и метрики, по которым можно оценивать эффект ассистента в образовательной среде.</t>
  </si>
  <si>
    <t>В докладе рассматривается подход RAGL как практическая схема построения NLP‑систем, которые совмещают генерацию текста с извлечением знаний из внешних источников. Разберём, как организовать пайплайн: подготовку и индексирование данных, поиск релевантного контекста, формирование промпта и генерацию ответа. Обсудим, какие метрики и тесты помогают оценивать качество (точность, полнота, галлюцинации) и где чаще всего возникают ошибки. Отдельное внимание уделим выбору эмбеддингов, стратегии чанкинга и настройке ретривера под доменную задачу. В конце покажем типовые сценарии применения — от корпоративного поиска и FAQ до ассистентов для аналитики — и дадим рекомендации по внедрению в продакшен.</t>
  </si>
  <si>
    <t>В докладе будет представлен HART — подход к построению автономных агентов на базе современных NLP/LLM-моделей, способных самостоятельно планировать действия и выполнять задачи в реальных сценариях. Разберем архитектуру агента: постановку цели, разбиение на шаги, выбор инструментов и работу с контекстом и памятью. Поговорим о том, как организовать надежный цикл «планирование — выполнение — проверка», чтобы агент корректно обрабатывал ошибки и неопределенность. Отдельно рассмотрим оценку качества: метрики, тестовые наборы и способы уменьшить галлюцинации и дрейф поведения. Завершим практическими примерами применения HART в продуктах и рекомендациями по безопасному внедрению автономных агентов в существующие системы.</t>
  </si>
  <si>
    <t>Доклад посвящен GenomeAI — подходу к применению современных методов машинного обучения в задачах естественных наук на примере геномных данных. Мы разберем, как объединять NLP-подобные представления последовательностей с рекомендательными моделями, чтобы находить функционально близкие гены, варианты и паттерны, а также предлагать гипотезы для дальнейшей проверки. Покажем, как автономные агенты могут автоматизировать цикл исследования: от поиска и нормализации данных до постановки экспериментов, генерации объяснений и ведения воспроизводимых пайплайнов. Обсудим архитектуру решения, требования к качеству и интерпретируемости, а также типичные источники ошибок и смещений в биоданных. Отдельно затронем практические сценарии — приоритизация кандидатов, аннотация, поиск похожих последовательностей и персонализированные рекомендации для исследователя. В конце поговорим о том, как оценивать такие системы и безопасно внедрять их в исследовательские процессы.</t>
  </si>
  <si>
    <t>NaturalScience, ML, Recsys, NLP, Agents</t>
  </si>
  <si>
    <t>В докладе расскажем, как мы построили рекомендательную систему докладов для сообщества JUG на основе методов NLP. Разберем, как собирали и очищали данные: описания докладов, теги, историю просмотров и предпочтения участников, а также как решали проблему «холодного старта» для новых пользователей и новых выступлений. Сравним контентный подход (эмбеддинги текстов, семантическая близость) и гибридную модель, учитывающую поведение аудитории. Покажем, как оценивали качество рекомендаций офлайн (метрики ранжирования) и онлайн (A/B‑эксперименты), и какие компромиссы возникали между точностью, разнообразием и новизной. Отдельно обсудим интерпретируемость: как объяснять пользователю, почему ему предложили именно этот доклад. В конце поделимся архитектурой сервиса и практическими выводами, которые помогут внедрить рекомендации в любой контентный продукт.</t>
  </si>
  <si>
    <t>NLP, Recommender</t>
  </si>
  <si>
    <t>В докладе представим сервис интеллектуального поиска по строительной документации, который помогает быстро находить нужные фрагменты в чертежах, спецификациях и сканах. Расскажем, как с помощью OCR извлекаем текст и структуру из разнородных источников и приводим данные к единому представлению. Покажем, как LLM используется для семантического поиска, ответов на вопросы по документам и уточнения запросов на естественном языке. Обсудим типичные сложности домена: качество сканов, таблицы и штампы, терминологию, версии документов и требования к трассируемости. Разберем подходы к оценке качества поиска и снижению галлюцинаций за счет ссылок на источники и проверяемых цитат. В конце поделимся архитектурой решения и практическими сценариями внедрения в инженерные процессы.</t>
  </si>
  <si>
    <t>Memorix — EdTech-продукт для ускорения и закрепления обучения с помощью технологий NLP. В докладе разберем, как из учебных материалов автоматически извлекать ключевые понятия, строить карточки и вопросы, а также формировать персональные траектории повторения. Покажем подходы к оценке сложности контента и выявлению пробелов в знаниях на основе ответов пользователя. Обсудим архитектуру сервиса: пайплайн обработки текста, хранение прогресса и интеграцию с мобильными и веб-клиентами. Отдельно затронем качество: метрики, A/B-тесты и способы снизить галлюцинации и смещения моделей в образовательных сценариях. В конце — результаты пилота и практические рекомендации по внедрению NLP в учебные продукты.</t>
  </si>
  <si>
    <t>Павлов И.В</t>
  </si>
  <si>
    <t>В докладе расскажем о проекте Adapstory — EdTech-решении для адаптивного обучения на основе данных о прогрессе и поведении учащихся. Разберем, как строится персональная траектория: диагностика уровня, подбор контента и динамическая настройка сложности. Покажем, какие метрики и сигналы используются для рекомендаций и как проверяется их качество в реальном обучении. Обсудим архитектуру продукта, интеграции с учебными платформами и требования к хранению и защите данных. Отдельно затронем, как поддерживать мотивацию пользователя через сценарии, сторителлинг и обратную связь. Завершим практическими выводами о том, что помогает масштабировать персонализацию без потери педагогической ценности.</t>
  </si>
  <si>
    <t>EdTech, Adaptive, Learning, Storytelling, Personalization</t>
  </si>
  <si>
    <t>В докладе представлю VLMHyperBench — бенчмарк для систематической оценки больших мультимодальных моделей (VLM) и их связок с LLM на задачах «изображение/видео + текст». Разберем, какие типы заданий и метрик позволяют честно сравнивать модели: понимание визуального контекста, рассуждение, следование инструкциям и устойчивость к шуму. Покажу, как устроен пайплайн подготовки датасета, генерации промптов и воспроизводимого прогона экспериментов, чтобы результаты можно было повторить и проверить. Обсудим типичные ловушки оценки: утечки данных, переобучение на популярных наборах, зависимость от формата подсказок и «галлюцинации» в визуальных ответах. Отдельно затронем практические сценарии применения бенчмарка при выборе модели для продукта и при регрессионном тестировании после обновлений. В конце — рекомендации по интерпретации лидербордов и тому, как адаптировать VLMHyperBench под доменные данные компании.</t>
  </si>
  <si>
    <t>AgentArea — платформа для проектирования и запуска сетей автономных агентов, которые совместно решают задачи на базе NLP. В докладе разберем, как описывать роли агентов, их цели и протоколы взаимодействия, чтобы получать устойчивое коллективное поведение, а не набор разрозненных ботов. Поговорим об оркестрации: маршрутизации сообщений, планировании, распределении инструментов и контроле контекста между агентами. Отдельно затронем вопросы надежности — как ограничивать действия агентов, отслеживать ошибки, предотвращать циклы и деградацию качества. Покажем типовые сценарии применения: поддержка пользователей, анализ документов, автоматизация внутренних процессов и исследовательские пайплайны. В конце обсудим метрики эффективности и практики внедрения агентских сетей в продуктовую разработку.</t>
  </si>
  <si>
    <t>В докладе рассматривается подход к созданию AI‑агента, который берет на себя рутинные задачи управления пользовательской инфраструктурой: от диагностики проблем до выполнения типовых операций по запросу. Поговорим о том, как связать NLP-интерфейс с реальными действиями в системах (скрипты, API, IaC), чтобы агент понимал намерение пользователя и безопасно исполнял команды. Разберем архитектуру автономного агента: планирование шагов, контекст и память, проверка предпосылок, обработка ошибок и откат изменений. Отдельное внимание уделим ограничениям и безопасности — правам доступа, журналированию, подтверждениям критичных действий и защите от ошибочных интерпретаций. На примерах покажем, как агент может автоматизировать мониторинг, обновления и реагирование на инциденты, сокращая время до восстановления и снижая нагрузку на инженеров.</t>
  </si>
  <si>
    <t>В докладе разберем, как спроектировать автономного агента для small-talk, который поддерживает естественный диалог и помогает пользователю в повседневных сценариях. Обсудим архитектуру: модель, память, контекст, инструменты и правила безопасности, чтобы агент оставался полезным и предсказуемым. Покажем, как агент выбирает намерение, управляет тоном общения и удерживает нить разговора без постоянного ручного контроля. Отдельно рассмотрим типичные сбои — галлюцинации, зацикливание, токсичные ответы — и практики их снижения через ограничения, валидацию и наблюдаемость. В завершение сравним подходы к запуску агента локально и в облаке и обозначим, какие метрики качества важны для small-talk систем.</t>
  </si>
  <si>
    <t>В докладе расскажем про Avrora Assistant — ассистента на базе NLP и автономных агентов, который помогает пользователям и командам автоматизировать рутинные задачи и быстрее получать ответы из знаний компании. Разберем архитектуру: как агент планирует действия, выбирает инструменты и поддерживает контекст диалога, оставаясь полезным даже при неполных вводных. Покажем сценарии применения: поиск по документации, подготовка черновиков, разбор обращений, запуск цепочек действий и интеграции с внутренними сервисами. Отдельно обсудим качество и безопасность: контроль галлюцинаций, ограничения на действия, логирование и оценку результатов. Завершим практическими рекомендациями по внедрению и метриками, по которым можно измерять пользу ассистента в продакшене.</t>
  </si>
  <si>
    <t>В докладе разберем, почему неопределенность — ключевая проблема при построении автономных агентов на базе LLM: от галлюцинаций и неполных наблюдений до неоднозначных целей и ошибок в планировании. Поговорим о том, как агенту «понимать», что он не уверен, и как это отражать в решениях: когда задавать уточняющие вопросы, когда запрашивать внешние источники и когда безопасно отказываться от действия. Рассмотрим практические техники оценки и калибровки уверенности (self-consistency, ансамбли, вероятностные оценки, uncertainty-aware prompting) и их ограничения. Отдельно обсудим, как неопределенность влияет на выбор инструментов, маршрутизацию задач и управление памятью/контекстом в агентных системах. Покажем подходы к тестированию и мониторингу: метрики надежности, сценарии отказов и способы снижать риск в продакшене. В итоге вы получите набор паттернов, которые помогают делать агентные решения предсказуемее и безопаснее в реальных NLP-продуктах.</t>
  </si>
  <si>
    <t>В докладе рассматривается агентская система для аналитики процессов разметки данных, построенная на автономных агентах. Система автоматически собирает метрики качества и скорости разметки, выявляет аномалии и типовые ошибки, а также помогает находить узкие места в пайплайне. Показано, как агенты распределяют задачи мониторинга, проверки согласованности и формирования рекомендаций для разметчиков и тимлидов. Обсудим архитектуру, принципы принятия решений агентами и способы интеграции с существующими инструментами разметки. Отдельное внимание уделим снижению ручной нагрузки и повышению воспроизводимости результатов при масштабировании команд и датасетов.</t>
  </si>
  <si>
    <t>В докладе рассматривается применение машинного обучения для автоматизации формирования сетевых планов в промышленных проектах — от построения структуры работ до расчета зависимостей и критического пути. Покажем, как на основе исторических данных и ограничений производства можно предсказывать длительности, выявлять типовые связи между задачами и снижать долю ручной работы планировщиков. Отдельное внимание уделим автономным агентам, которые итеративно уточняют план: проверяют его на выполнимость, согласуют ресурсы, предлагают альтернативные сценарии и реагируют на изменения входных условий. Обсудим архитектуру решения, требования к качеству данных и метрики, по которым оценивается «хороший» план (сроки, риски, устойчивость к сбоям). Разберем типичные ошибки внедрения — от смещения данных до конфликтов бизнес-правил — и способы их контроля. В завершение сравним подход с классическими инструментами календарно-сетевого планирования и обозначим, где ML дает максимальный эффект.</t>
  </si>
  <si>
    <t>В докладе представим Turbo Sorter — подход к повышению безопасности NLP‑систем за счет автоматической сортировки и фильтрации входных запросов и выходных ответов. Разберем типовые угрозы для языковых моделей: prompt‑injection, утечки чувствительных данных, токсичный и запрещенный контент, а также попытки обхода политик. Покажем, как с помощью классификации и правил можно выделять рискованные категории, назначать им разные сценарии обработки и снижать вероятность инцидентов без заметной деградации качества. Обсудим построение пайплайна: сбор и разметка данных, выбор метрик, настройка порогов и мониторинг дрейфа. Отдельно затронем практики red‑teaming и тестирование на устойчивость, чтобы проверять систему до релиза и в продакшене. В конце поделимся рекомендациями по внедрению в существующие продукты и типичными ошибками при разработке защитных слоев вокруг LLM.</t>
  </si>
  <si>
    <t>В докладе расскажем, как мы спроектировали и реализовали MCP‑сервер для llamator, чтобы подключать LLM к внешним инструментам и данным контролируемым и воспроизводимым способом. Разберем архитектуру сервера, модель доступа к ресурсам и типовые сценарии интеграции в пайплайны разработки и тестирования. Отдельный фокус — безопасность: какие угрозы появляются при «инструментализации» модели, как ограничивать права, валидировать входы/выходы и снижать риск утечек. Покажем, как использовать red teaming для проверки промпт-инъекций, обхода политик и нежелательных действий через инструменты, и какие метрики/чек-листы помогают оценивать устойчивость. Поделимся практическими находками, типовыми ошибками внедрения и набором рекомендаций по безопасной эксплуатации MCP в продакшене.</t>
  </si>
  <si>
    <t>В докладе представим AI Security Lab Benchmark — набор задач и метрик для оценки безопасности и надежности LLM‑систем, работающих как автономные агенты. Разберем, какие классы угроз наиболее актуальны для агентных сценариев: prompt injection, утечки данных, небезопасные действия через инструменты и «побеги» из заданных политик. Покажем, как бенчмарк моделирует реальные рабочие контуры агента (планирование, вызов инструментов, работа с контекстом и памятью) и где традиционные NLP‑оценки перестают быть достаточными. Обсудим методологию построения тестов, критерии воспроизводимости и способы сравнения моделей и оркестраторов между собой. Приведем примеры типовых провалов и практические рекомендации, как использовать результаты бенчмарка для hardening пайплайна и регрессионного контроля при обновлениях моделей.</t>
  </si>
  <si>
    <t>В докладе представлен BAD — модуль анализа пользовательской и системной активности, ориентированный на выявление аномалий и подозрительных паттернов поведения. Рассмотрим, как в модуле используются LLM для интерпретации событий, обогащения сигналов контекстом и формирования человекочитаемых объяснений срабатываний. Отдельное внимание уделим MLSec: угрозам для ML/LLM-компонентов (prompt-injection, data poisoning, утечки через логи) и тому, как они учитываются в архитектуре. Покажем подходы к защите пайплайна: валидация входных данных, ограничение контекста, контроль прав доступа, аудит и мониторинг качества модели. Обсудим критерии точности и ложноположительных срабатываний, а также практику внедрения модуля в существующую инфраструктуру. В конце — рекомендации по безопасной эксплуатации и масштабированию BAD в продакшене.</t>
  </si>
  <si>
    <t>В докладе рассматриваются типовые уязвимости автономных агентных систем, использующих NLP/LLM: от prompt-инъекций и утечек данных до злоупотребления инструментами и эскалации привилегий. Разберем, какие сигналы в логах и диалогах указывают на атаку, и как построить непрерывный мониторинг поведения агента в продакшене. Поговорим о метриках безопасности: аномальные траектории действий, подозрительные цепочки запросов, отклонения от политик и рост «опасных» намерений. Предложим практическую схему наблюдаемости: трассировка вызовов инструментов, контроль доступа к данным, контент-фильтры и автоматические алерты. Отдельно обсудим тестирование и «красные команды» для регулярной проверки устойчивости, а также процесс реагирования на инциденты. В результате слушатели получат набор подходов и чек-лист, позволяющие обнаруживать и снижать риски в агентных системах до того, как они приведут к реальным потерям.</t>
  </si>
  <si>
    <t>В докладе разберем, почему Retrieval-Augmented Generation (RAG) часто «галлюцинирует» даже при наличии хорошего поиска, и зачем нужна верификация ответа как отдельный слой пайплайна. Покажем практические подходы к проверке: сопоставление утверждений с найденными источниками, оценка покрываемости контекстом и выявление неподкрепленных фактов. Обсудим метрики и протоколы тестирования RAG-систем: от наборов вопросов с эталонными ссылками до автоматизированных проверок на противоречия и цитируемость. Рассмотрим типовые ошибки — неверная атрибуция, «склейка» фрагментов, устаревшие данные — и способы их детектирования. В финале предложим архитектуру верификационного контура, который повышает надежность ответов и снижает риски для продакшена в NLP-задачах.</t>
  </si>
  <si>
    <t>В докладе представлен ассистент для LMS Moodle на базе методов NLP, который помогает студентам и преподавателям быстрее ориентироваться в курсах и учебных материалах. Мы разберем, как ассистент понимает запросы на естественном языке и превращает их в действия: поиск по контенту, ответы на вопросы по курсу, подсказки по дедлайнам и навигации. Поговорим о подготовке данных из Moodle, построении индекса знаний и выборе моделей для извлечения релевантных фрагментов. Отдельно обсудим интеграцию с Moodle, требования к приватности и способы снизить риск галлюцинаций за счет ссылок на источники. Покажем результаты пилотного внедрения и типовые сценарии, где ассистент экономит время и снижает нагрузку на поддержку.</t>
  </si>
  <si>
    <t>В докладе рассматривается, как повысить качество и воспроизводимость бенчмаркинга больших языковых моделей в прикладных NLP-задачах. Обсудим типичные проблемы существующих подходов: нестабильность результатов из‑за стохастики генерации, смещение метрик, утечки данных и слабую сопоставимость тестов между моделями и версиями. Автор предложит улучшения пайплайна оценки: стандартизацию датасетов и промптов, контроль параметров инференса, расширение набора метрик (качество, безопасность, стоимость, задержки) и автоматизацию регрессионных проверок. Также будет показано, как организовать «живые» тесты на реальных сценариях и интерпретировать результаты так, чтобы они помогали выбирать модель под конкретный продукт. В итоге слушатели получат практические рекомендации по построению надежной системы сравнения LLM и отслеживанию прогресса при обновлениях моделей.</t>
  </si>
  <si>
    <t>В докладе рассматривается построение RAG-системы (Retrieval-Augmented Generation) для автоматизации ответов службы поддержки на основе корпоративной базы знаний. Обсудим, как организовать пайплайн: сбор и очистка данных, разбиение на чанки, построение эмбеддингов и поиск релевантных фрагментов для подстановки в контекст LLM. Покажем, как снизить галлюцинации за счет цитирования источников, правил уверенности и маршрутизации сложных кейсов на оператора. Разберем метрики качества (точность поиска, полезность ответа, доля эскалаций) и подходы к офлайн/онлайн оценке. Отдельно затронем вопросы безопасности: разграничение доступа, фильтрация персональных данных и аудит ответов. В итоге слушатели получат практическую схему внедрения RAG в саппорт с понятными компромиссами по качеству, стоимости и времени ответа.</t>
  </si>
  <si>
    <t>Геоданные — это не просто координаты на карте, а богатый сигнал о поведении и контексте пользователя, который можно эффективно использовать в рекомендательных системах. В докладе разберем, что такое гео-эмбеддинги, как превращать точки, маршруты и места в векторные представления и какие свойства пространства важно сохранять при обучении. Обсудим подходы к построению эмбеддингов: от разбиения на геосетки и обучения по посещениям до графовых моделей «место—место» и последовательностей перемещений. Поговорим о том, как интегрировать гео-эмбеддинги в пайплайн Recsys: кандидаты, ранжирование, персонализация по контексту и холодный старт для новых локаций. Отдельно затронем практические вопросы качества: какие метрики и офлайн/онлайн-эксперименты подходят, как бороться с разреженностью и сезонностью. В конце рассмотрим типичные ошибки и ограничения, включая приватность, смещения данных и способы анонимизации.</t>
  </si>
  <si>
    <t>В докладе представлен сервис геоаналитики, который объединяет разрозненные открытые источники данных и превращает их в удобные для анализа карты и метрики. Рассмотрим полный пайплайн: сбор и очистку данных, геокодирование и нормализацию, хранение и индексацию пространственных слоев, а также визуализацию результатов. Покажем, как методы машинного обучения помогают выявлять закономерности в природных и социально-географических процессах: кластеризацию территорий, прогнозирование показателей и обнаружение аномалий. Отдельное внимание уделим качеству данных, смещениям и валидации моделей на реальных кейсах. В завершение обсудим сценарии применения сервиса — от мониторинга окружающей среды до поддержки решений в городском планировании — и ограничения, которые важно учитывать при работе с open data.</t>
  </si>
  <si>
    <t>Максимова П.Ю.</t>
  </si>
  <si>
    <t>В докладе расскажем о проекте «Узнай город» — ML/NLP‑системе, которая по пользовательскому контенту определяет город и помогает обогащать данные в продукте. Разберем, какие источники сигналов используются: текстовые описания, названия мест, метаданные и визуальные признаки, и как они объединяются в единую модель. Покажем промышленный пайплайн: сбор и разметка данных, обучение и валидация, мониторинг качества и деградаций после релиза. Обсудим типичные сложности — неоднозначные топонимы, шумные данные, дисбаланс по городам и доменные сдвиги — и практические способы их решения. Отдельно затронем вопросы внедрения: требования к латентности, масштабирование, A/B‑оценка и интерпретируемость предсказаний для бизнеса.</t>
  </si>
  <si>
    <t>Доклад посвящён практическому пути внедрения машинного обучения в промышленности: от постановки задачи и сбора данных до вывода модели в продакшн и измерения эффекта. Спикеры разберут типовые сценарии — предиктивное обслуживание, контроль качества, оптимизацию режимов и энергопотребления — и покажут, как выбирать подходящие модели и метрики под ограничения производства. Отдельное внимание уделят MLOps: пайплайнам обучения, мониторингу дрейфа, управлению версиями и безопасному обновлению моделей без остановки процессов. Обсудят интеграцию ML с существующими ИТ/OT-системами, требования к надежности, объяснимости и соответствию регуляторике. В завершение дадут чек-лист, как оценить готовность предприятия к ML и избежать распространённых ошибок пилотов.</t>
  </si>
  <si>
    <t>В докладе «Valde» представлен проект на стыке рекомендательных систем, предиктивной аналитики и NLP. Автор расскажет, как из текстовых данных (запросов, описаний, отзывов или обращений пользователей) извлекать сигналы, которые улучшают персонализацию и точность прогнозов. Будут разобраны ключевые этапы пайплайна: подготовка корпуса, построение признаков и эмбеддингов, обучение моделей ранжирования/предсказания и оценка качества в онлайне и офлайне. Отдельное внимание уделяется практическим вопросам: холодный старт, дрейф данных, интерпретируемость и контроль деградации метрик. В завершение — примеры внедрения и то, как превратить прототип в устойчивый сервис, работающий в продакшене.</t>
  </si>
  <si>
    <t>В докладе представлен сервис поиска по структурированной информации, ориентированный на быстрый и точный доступ к данным в таблицах, справочниках и корпоративных хранилищах. Разберем, как методы NLP помогают интерпретировать запросы на естественном языке и сопоставлять их со схемой данных: сущностями, атрибутами и связями. Поговорим о построении пайплайна от нормализации и извлечения ключевых сущностей до ранжирования результатов и формирования ответа. Отдельное внимание уделим обработке неоднозначностей, синонимов и опечаток, а также оценке качества поиска на реальных запросах. В завершение обсудим варианты интеграции сервиса в продукты и типичные ошибки при внедрении.</t>
  </si>
  <si>
    <t>В докладе расскажем, как в GminiSoft построили интеллектуальный поиск на базе методов машинного обучения и компьютерного зрения для работы с промышленными данными и визуальными материалами. Разберем архитектуру пайплайна: подготовку и разметку данных, извлечение признаков/эмбеддингов, индексацию и ранжирование результатов. Покажем, как комбинируются текстовые и визуальные сигналы, чтобы находить объекты и документы по смыслу, а не только по точным совпадениям. Обсудим требования продакшена: качество, скорость, масштабирование, мониторинг и обновление моделей без простоя. Отдельно затронем типичные проблемы внедрения — шумные данные, дрейф, интерпретируемость и оценку качества на реальных сценариях. В конце поделимся практическими выводами и тем, какие улучшения дали наибольший эффект для пользователей.</t>
  </si>
  <si>
    <t>В докладе разберем, как связать сегментацию клиентов с построением продуктовых рекомендаций и зачем это нужно бизнесу. Поговорим о данных и признаках, которые чаще всего дают прирост качества: поведение, транзакции, контент и контекст. Сравним подходы к сегментации — от простых правил и RFM до кластеризации и предиктивных сегментов на основе моделей. Покажем, как сегменты используются в рекомендательных системах: для холодного старта, персонализации ранжирования и контроля разнообразия выдачи. Обсудим метрики и дизайн экспериментов: offline-оценку, A/B‑тесты, а также типичные ловушки вроде смещения данных и утечек. В конце — практические рекомендации по внедрению и поддержке пайплайна, чтобы сегменты и рекомендации оставались актуальными при изменении аудитории и ассортимента.</t>
  </si>
  <si>
    <t>Доклад посвящен тому, как организовать подготовку данных и исследовательский цикл для обучения и улучшения GigaChat. Разберем, какие источники данных подходят для LLM, как формулировать требования к качеству и покрытию, а также как выстраивать пайплайн сбора, очистки и дедупликации. Поговорим о разметке и создании датасетов под конкретные навыки модели: диалоги, инструкции, фактические знания и безопасность. Отдельное внимание уделим оценке данных: метрикам, выборкам для ручной проверки и поиску систематических ошибок и смещений. В конце обсудим практики документирования датасетов и итеративного улучшения на основе фидбэка и результатов офлайн/онлайн-оценок.</t>
  </si>
  <si>
    <t>В докладе разберем перенос действующей рекомендательной системы VK Знакомств на новую микросервисную архитектуру без остановки продукта и деградации качества рекомендаций. Поговорим о том, как декомпозировать монолитный пайплайн на сервисы, определить границы ответственности и выстроить надежные контуры данных и фичей. Покажем подход к параллельному запуску старой и новой систем, A/B‑экспериментам и контролю метрик, где ключевая — рост взаимностей (matches). Обсудим, какие изменения в ранжировании и генерации кандидатов дали наибольший вклад в качество, и как мы боролись с задержками, консистентностью и стоимостью вычислений. Отдельное внимание уделим наблюдаемости, алертингу и практикам безопасных релизов в высоконагруженной рекомендательной системе. В результате вы получите набор практических решений для построения и эволюции recsys в микросервисах, ориентированной на продуктовые метрики.</t>
  </si>
  <si>
    <t>Доклад посвящён роли AI‑исследователя как автономного агента, способного ускорять и систематизировать исследовательскую работу в продуктовых и R&amp;D‑командах. Разберём, из каких компонентов состоит такой агент: постановка гипотез, поиск и чтение источников, ведение заметок, планирование экспериментов и подготовка выводов. Поговорим о том, как агент принимает решения, управляет контекстом и проверяет собственные результаты, чтобы снижать риск галлюцинаций и ошибок. Покажем типовые сценарии: быстрый обзор литературы, конкурентный анализ, генерация протоколов экспериментов и подготовка черновиков отчётов. Отдельно обсудим ограничения автономности, требования к данным и безопасные контуры запуска в компании. В конце дадим практические рекомендации по внедрению и метрикам эффективности AI‑исследователя.</t>
  </si>
  <si>
    <t>Доклад посвящен тому, как автономные агенты на базе NLP могут быстро извлекать смысл из больших массивов текстовых данных и превращать его в практические инсайты. Разберем типовую архитектуру: постановка цели, планирование шагов, выбор инструментов и контроль качества результата. Поговорим о сценариях применения — от мониторинга обратной связи пользователей и поддержки до анализа документов и автоматизации исследований. Отдельно затронем риски: галлюцинации, утечки данных, смещение в данных и способы валидации выводов агента. В конце покажу, как измерять полезность «быстрых инсайтов» и интегрировать агента в существующие процессы без лишней сложности.</t>
  </si>
  <si>
    <t>В докладе расскажем о проекте NetTyan — «нейростримерше», которая ведет эфир и общается со зрителями на естественном языке. Разберем архитектуру автономного агента: от распознавания и понимания реплик чата до планирования поведения, генерации ответов и управления «персоной» в реальном времени. Покажем, как устроены контекстная память, правила безопасности и фильтры, позволяющие удерживать стиль общения и избегать токсичных или нежелательных тем. Обсудим, как агент справляется с многопоточностью событий стрима: донаты, вопросы, модерация, смена сценариев и импровизация. Поделимся практическими решениями по снижению задержек, оценке качества диалогов и мониторингу ошибок в продакшене. В конце обсудим, какие задачи лучше решать LLM, а какие — детерминированной логикой, и что нужно для масштабирования такого агента на новые площадки и языки.</t>
  </si>
  <si>
    <t>Mindescape 3D — экспериментальный проект на стыке 3D-визуализации и NLP, который превращает текст в интерактивное «пространство смыслов». В докладе разберем, как из пользовательских заметок, диалогов или документов извлекать сущности и связи, а затем отображать их в виде трехмерной сцены для навигации и исследования. Поговорим о пайплайне обработки: предобработка текста, эмбеддинги, кластеризация/граф знаний и правила построения 3D-объектов. Покажем сценарии применения — от мозговых штурмов и обучения до анализа больших массивов текстов и поиска скрытых тем. Отдельно обсудим ограничения качества NLP, способы оценки результата и как сделать визуализацию полезной, а не просто эффектной. В конце — планы развития и идеи интеграции в приложения и рабочие процессы.</t>
  </si>
  <si>
    <t>В докладе рассматривается построение пайплайна синтеза датасета в 3D-среде для дообучения нейросетевого редактора изображений, когда реальных размеченных данных недостаточно или они слишком дороги. Разберем, как организовать генерацию сцен, материалов, освещения и ракурсов, чтобы получать разнообразные пары «вход–цель» и контролируемые изменения (объекты, фон, стиль, дефекты). Поговорим о доменном разрыве между синтетикой и реальными снимками и способах его уменьшения: рандомизация, имитация шума/оптики, смешивание с реальными данными и подбор стратегий аугментаций. Покажем, как автоматизировать рендеринг, экспорт аннотаций и метаданных, а также встроить контроль качества и балансировку распределений в датасете. Отдельно обсудим, как такой датапайплайн влияет на стабильность дообучения, метрики качества редактирования и переносимость модели на реальные кейсы. В результате слушатели получат практическую схему, позволяющую быстро масштабировать обучение нейроредактора под новые сценарии и ограничения.</t>
  </si>
  <si>
    <t>В докладе представлен проект GenDraft3D — инструмент для быстрого создания черновых 3D-моделей на основе данных компьютерного зрения. Рассмотрим, как из набора изображений или видеопотока извлекать геометрию сцены и получать первичную сетку с текстурами для дальнейшей доработки в 3D-редакторах. Обсудим ключевые этапы пайплайна: детекцию и сопоставление признаков, оценку позы камеры, реконструкцию глубины и постобработку (очистка, упрощение, заполнение дыр). Отдельное внимание уделим типичным проблемам — шуму, бликам, динамическим объектам — и практическим приемам повышения качества результата. Покажем примеры применения: прототипирование ассетов, сканирование небольших объектов и быстрые превизуализации сцен. В конце сравним подход с альтернативами и обозначим ограничения и направления развития.</t>
  </si>
  <si>
    <t>В докладе рассматривается подход к созданию статических аватаров на основе методов компьютерного зрения. Разберем, как из фотографии пользователя автоматически получить аккуратный портретный аватар: выделить лицо, нормализовать позу и освещение, убрать фон и привести изображение к единому стилю. Обсудим ключевые этапы пайплайна — детекцию и выравнивание лица, сегментацию, ретушь и стилизацию — а также типичные ошибки и способы их исправления. Отдельно затронем вопросы качества: метрики, A/B‑проверки и критерии «приятного» результата для продукта. Поговорим о производительности и вариантах внедрения на клиенте и на сервере, включая компромиссы по скорости, памяти и приватности. В итоге слушатели получат практическое представление о том, как построить надежный CV‑процесс генерации статических аватаров для реального приложения.</t>
  </si>
  <si>
    <t>В докладе представим AI Media Producer — систему для автоматизации производства медиаконтента с помощью автономных агентов и NLP. Разберем, как агенты берут на себя полный цикл: от понимания брифа и поиска фактуры до написания сценария, генерации вариантов текста и подготовки материалов под разные площадки. Покажем, как устроены роли агентов, их координация, память и проверка качества, чтобы снижать галлюцинации и удерживать стиль бренда. Обсудим пайплайн обработки данных, оценку результата и метрики, по которым можно измерять полезность в продакшене. Отдельно затронем ограничения, безопасность и юридические аспекты работы с источниками и авторскими правами. В конце поделимся практическими кейсами внедрения и тем, какие задачи такая система закрывает лучше всего уже сегодня.</t>
  </si>
  <si>
    <t>В докладе разберем, как автоматизировать разметку данных для задач компьютерного зрения с помощью автолейблинга и тем самым ускорить подготовку датасетов и снизить стоимость ручной разметки. Обсудим типовые пайплайны: от первичной модели/детектора и генерации псевдоразметки до итеративного улучшения качества через active learning и human-in-the-loop валидацию. Поговорим о метриках качества разметки, контроле ошибок и способах находить «трудные» примеры, которые сильнее всего влияют на обучение. Отдельно затронем практические вопросы: выбор инструментов, хранение версий разметки, воспроизводимость и интеграцию в MLOps. В конце покажем, где автолейблинг дает максимальный эффект (детекция, сегментация, трекинг) и какие ограничения важно учитывать, чтобы не «загрязнить» датасет.</t>
  </si>
  <si>
    <t>В докладе разберем, как применять классическое машинное обучение для улучшения игровых механик в продукте: от подбора параметров прогрессии и наград до персонализации заданий и сложности. Покажем, какие данные и фичи нужны, как формулировать целевые метрики (удержание, конверсия, вовлеченность) и какие модели обычно дают наибольший эффект без сложного deep learning. Обсудим типовой пайплайн: сбор событий, обучение, офлайн-валидация, выкладка в прод и мониторинг деградации. Отдельно поговорим о том, как корректно проверять гипотезы через A/B‑тесты: дизайн эксперимента, размер выборки, сегментации и частые ловушки интерпретации. На примерах покажем, как отличать реальный прирост от «шума» и как безопасно раскатывать изменения, не ломая баланс. В итоге у вас будет практический набор подходов, позволяющий превращать игровые механики в управляемую и измеримую систему улучшений.</t>
  </si>
  <si>
    <t>Доклад посвящен идее «сингулярности» ИИ и тому, как стремительный прогресс в NLP приближает нас к системам, способным выполнять все более широкий спектр интеллектуальных задач. Разберем ключевые технологические драйверы: масштабирование моделей, качество данных, обучение с подкреплением от обратной связи и инструменты, расширяющие возможности LLM. Обсудим, какие признаки можно считать практическими маркерами приближения к «сильному» ИИ и почему одних метрик бенчмарков недостаточно. Отдельное внимание уделим рискам: галлюцинациям, смещению, утечкам данных, а также вопросам безопасности и выравнивания целей моделей. В завершение поговорим о прикладных сценариях для бизнеса и разработки — от ассистентов и поиска до автоматизации аналитики и поддержки пользователей — и о том, как готовиться к следующему витку изменений.</t>
  </si>
  <si>
    <t>В докладе расскажем, как методы компьютерного зрения применяются к анализу МРТ-исследований: от подготовки данных и подавления артефактов до выделения анатомических структур и патологий. Обсудим типичный пайплайн обработки 3D-объемов, выбор моделей (классические подходы и нейросети) и требования к разметке. Покажем, какие метрики и протоколы валидации помогают оценивать качество сегментации и детекции в медицинских данных. Отдельно затронем практические сложности: вариативность протоколов сканирования, доменный сдвиг между клиниками и интерпретируемость результатов. Завершим рекомендациями по внедрению таких решений в исследовательский или продуктовый контур с учетом ограничений по данным и качеству.</t>
  </si>
  <si>
    <t>В докладе представлен проект SkinCare AI — система на базе компьютерного зрения и предиктивной аналитики для оценки состояния кожи по фото и выдачи персональных рекомендаций по уходу. Разберем, какие признаки можно извлекать из изображений (тон, текстура, воспаления, пигментация), как готовить датасет и обеспечивать стабильность результатов при разном освещении и качестве камеры. Поговорим о связке CV-модели с рекомендательной частью: как превращать оценки в понятные пользователю советы и как учитывать контекст (тип кожи, сезонность, чувствительность, текущие средства). Отдельно затронем метрики качества для диагностики и рекомендаций, а также способы валидации на реальных пользователях. Обсудим риски и ограничения: смещения данных, приватность изображений и корректные дисклеймеры, чтобы не подменять медицинскую диагностику. В конце покажем, как такую систему можно внедрить в продуктовый контур и итеративно улучшать по обратной связи.</t>
  </si>
  <si>
    <t>В докладе расскажем, как в ПАО «Норильский Никель» применяем большие языковые модели для автоматизации и ускорения ключевых бизнес-процессов в промышленной компании. Разберем типовые сценарии: обработка обращений и заявок, поиск по корпоративным знаниям и регламентам, подготовка отчетов и резюме документов, а также поддержка сотрудников в принятии решений. Покажем, как RAG помогает безопасно подключать LLM к внутренним источникам данных, снижая галлюцинации и повышая проверяемость ответов. Обсудим архитектуру решения, требования к качеству данных и метрики, по которым оцениваем эффект и надежность. Отдельно затронем автономных агентов: где они дают прирост, а где требуют строгих ограничений, мониторинга и человеко-ориентированного контура. Завершим практическими выводами о масштабировании, безопасности и организационных изменениях, необходимых для устойчивого внедрения LLM.</t>
  </si>
  <si>
    <t>В докладе расскажем, как построить ML-систему record linkage для сопоставления позиций из разных каталогов, когда названия, атрибуты и структура данных не совпадают. Разберем постановку задачи: поиск дублей и матчинг «товар–товар» с учетом шумных описаний, опечаток и неполных характеристик. Покажем, как NLP-подходы помогают извлекать и нормализовать признаки из текстов, а также как формируются эмбеддинги и пары кандидатов для сравнения. Обсудим выбор моделей и метрик качества, баланс между точностью и полнотой, а также работу с дисбалансом классов и разметкой. Отдельно затронем промышленный контур: масштабирование, скорость поиска кандидатов, мониторинг дрейфа и контроль качества в продакшене. В результате слушатели получат практическое представление о том, как довести сопоставление каталогов от прототипа до надежного сервиса.</t>
  </si>
  <si>
    <t>В докладе представлен «контур» работы ИИ‑аналитика в промышленной компании: от постановки бизнес‑задачи и сбора данных до внедрения модели в процессы и контроля качества. Авторы покажут, как связать требования бизнеса с ML‑пайплайном и где в этом контуре наиболее эффективно применять NLP для обработки текстов: заявок, отчетов, переписки и регламентов. Обсудим подготовку и разметку данных, выбор базовых моделей и метрик, а также типовые риски — дрейф данных, утечки, смещения и интерпретируемость результатов. Отдельное внимание уделим организации MLOps‑цикла: мониторингу, переобучению и управлению версиями данных и моделей. На практических примерах разберем, как такой контур ускоряет аналитику, повышает точность решений и снижает стоимость ошибок в производственных сценариях.</t>
  </si>
  <si>
    <t>В докладе рассмотрим, какие задачи обработки естественного языка решаются в Мегафоне и зачем они нужны бизнесу и пользователям. Обсудим типовые кейсы: классификацию обращений, извлечение сущностей, поиск и ранжирование, суммаризацию, анализ тональности и построение диалоговых помощников. Разберем, как устроен путь от данных и разметки до внедрения модели в продакшен: метрики качества, A/B‑эксперименты, мониторинг и обновление. Отдельно затронем особенности телекома — большие объемы текстов, доменная терминология, требования к приватности и надежности. Покажем, какие подходы и модели (включая трансформеры и LLM) применимы на практике и где они дают наибольший эффект.</t>
  </si>
  <si>
    <t>В докладе представим ScribeAI — систему автоматического протоколирования, которая превращает аудио речи в структурированный текст. Разберем архитектуру пайплайна: распознавание речи (ASR), постобработка и нормализация текста, а также NLP-модули для пунктуации, выделения смысловых блоков и краткого резюме. Поговорим о выборе и дообучении моделей под доменные данные, работе с шумом, разными акцентами и смешанными языками. Покажем, как оцениваем качество на практике: метрики для ASR и критерии полезности итогового конспекта для пользователя. Отдельно обсудим вопросы приватности и варианты развертывания — облако и on-device. Завершим демонстрацией сценариев применения: встречи, интервью и лекции.</t>
  </si>
  <si>
    <t>В докладе расскажем о создании платформы для рантайм‑инференса векторных моделей, применяемых в рекомендациях, поиске и персонализации. Разберем требования промышленного контура: низкие задержки, высокая пропускная способность, стабильность качества и воспроизводимость результатов. Покажем архитектуру сервинга эмбеддингов и моделей ранжирования: управление версиями, фичестор/онлайн‑фичи, кэширование, батчинг и A/B‑эксперименты. Обсудим, как организовать мониторинг дрейфа, деградаций и «тихих» ошибок, а также алерты по бизнес‑метрикам. Отдельно затронем вопросы интеграции с продуктами и MLOps‑процессами: деплой, откат, канареечные релизы и безопасность данных. В конце поделимся практическими уроками и типовыми компромиссами между точностью, стоимостью и задержкой в реальных Recsys‑сценариях.</t>
  </si>
  <si>
    <t>В докладе представим «Прокопия» — систему на базе компьютерного зрения и NLP, которая превращает неструктурированные визуальные данные в понятные пользователю выводы и действия. Покажем, как связка CV-моделей и языкового слоя позволяет извлекать сущности, контекст и намерения из изображений/видео и сопутствующего текста, а затем формировать рекомендации или отчеты. Отдельно разберем архитектуру автономных агентов: планирование шагов, выбор инструментов, проверка результатов и безопасные ограничения. Обсудим, как организовать пайплайн данных, оценку качества и устойчивость к ошибкам распознавания и галлюцинациям. Приведем примеры сценариев, где агент сам инициирует уточняющие вопросы, собирает недостающую информацию и доводит задачу до результата. Завершим практическими выводами о том, как внедрять подобные решения в продукт и измерять их пользу.</t>
  </si>
  <si>
    <t>В докладе «Агролаб» рассматривается, как применять машинное обучение в агропромышленности — от сбора данных в полях до внедрения моделей в производственный контур. Разберем типовые кейсы: прогноз урожайности, мониторинг состояния посевов по снимкам, выявление аномалий и оптимизация агроопераций. Поговорим о том, какие данные реально доступны (сенсоры, спутники, дроны, учетные системы), как обеспечивать их качество и как строить надежные пайплайны. Отдельное внимание уделим требованиям индустрии: воспроизводимость, интерпретируемость, устойчивость к сезонности и дрейфу данных, а также экономический эффект. В завершение обсудим, как оформлять опыт в виде CV/портфолио: какие метрики, артефакты и результаты важнее всего для работодателя и заказчика.</t>
  </si>
  <si>
    <t>В докладе расскажем о NeonPay — платежном финтех-продукте, в котором машинное обучение используется для повышения безопасности и качества пользовательского опыта. Разберем, какие данные и сигналы применяются для скоринга транзакций, выявления мошенничества и снижения числа ложных срабатываний. Покажем, как устроен ML-пайплайн: от подготовки фичей и обучения моделей до онлайн-инференса с жесткими требованиями по задержкам и отказоустойчивости. Обсудим практики мониторинга качества, дрейфа и интерпретируемости, а также то, как соблюдаются требования комплаенса и приватности. Отдельно затронем A/B‑эксперименты и метрики, которые помогают балансировать риск, конверсию и удобство оплаты. В конце поделимся типовыми ошибками внедрения ML в платежные сценарии и рекомендациями, как запускать такие решения в продакшен.</t>
  </si>
  <si>
    <t>VoxBud — это персональный финансовый ассистент, который работает оффлайн и помогает пользователю управлять повседневными расходами без передачи данных в облако. В докладе разберем, как сочетание NLP и ML позволяет понимать естественные запросы, классифицировать операции и формировать подсказки по бюджету прямо на устройстве. Поговорим о проектировании пайплайна: от извлечения сущностей (категории, суммы, даты) до построения персонализированных рекомендаций и прогнозов. Отдельно обсудим требования финтеха к приватности, безопасности и объяснимости моделей, а также компромиссы между качеством и ресурсами при локальном инференсе. Покажем практические сценарии: голосовой ввод трат, автокатегоризация, выявление аномалий и напоминания о регулярных платежах. В конце — уроки внедрения, метрики качества и направления развития продукта.</t>
  </si>
  <si>
    <t>В докладе представлен Adaptive Assessment Engine — система, которая автоматически генерирует задания, проверяет их качество и адаптивно оценивает знания пользователя в процессе прохождения. Разберем, как с помощью NLP и ML формируются вопросы и варианты ответов, как обеспечивается их валидность (сложность, однозначность, отсутствие утечек подсказок) и как строится динамическая модель навыков. Поговорим о механизмах подбора следующего задания на основе текущей уверенности системы и о том, как снижать шум и смещения в оценке. Отдельное внимание уделим применению в финтехе: комплаенс‑обучение, аттестация сотрудников, контроль знаний по продуктам и снижение рисков за счет более точной диагностики пробелов. Покажем, какие метрики и офлайн/онлайн‑эксперименты помогают доказать пользу адаптивного подхода по сравнению с фиксированными тестами. Завершим практическими рекомендациями по внедрению и мониторингу качества модели в продакшене.</t>
  </si>
  <si>
    <t>В докладе рассматривается дообучение vision-language модели (VLM) для задачи извлечения ключевой информации (KIE) из банковских документов: анкет, заявлений, выписок и форм с табличной разметкой. Обсудим, как подготовить датасет с учетом структуры документа, качества сканов и вариативности шаблонов, а также какие стратегии разметки дают наилучший эффект при ограниченном количестве данных. Разберем пайплайн обучения: выбор базовой VLM, формирование промптов/таргетов, аугментации и способы учесть layout и OCR-сигналы. Покажем, как оценивать качество KIE в продакшене, какие метрики и ошибки наиболее критичны для финтеха, и как снижать риск галлюцинаций и утечек персональных данных. Отдельно затронем вопросы внедрения: требования к латентности, устойчивость к «грязным» документам и мониторинг деградации модели на новых типах форм. В результате слушатели получат практические рекомендации по построению надежного KIE-решения на базе VLM для банковского документооборота.</t>
  </si>
  <si>
    <t>В докладе разберем, как с помощью машинного обучения в финтехе перейти от фиксированных ставок по вкладам к индивидуальному ценообразованию для разных сегментов и конкретных клиентов. Обсудим, какие данные и признаки используются для оценки чувствительности к ставке, вероятности открытия/пролонгации и ожидаемой маржинальности продукта. Покажем типовой пайплайн: постановка целевой функции, обучение моделей, расчет персональной ставки с учетом ограничений по риску, ликвидности и регуляторике. Отдельно затронем вопросы интерпретируемости и справедливости, чтобы персонализация не превращалась в дискриминацию и была объяснима бизнесу и клиенту. Рассмотрим, как проводить A/B‑тесты и мониторинг, чтобы контролировать эффект на привлечение средств, удержание и стоимость фондирования. Завершим практическими рекомендациями по внедрению в прод: интеграция с CRM и скорингом, защита от утечек и дрейфа, а также управление моделями и правилами.</t>
  </si>
  <si>
    <t>В докладе рассматривается эволюция розничного моделирования в ПАО «Газпромбанк» и то, как ML-подходы меняют принятие решений в финтех-продуктах. Спикер расскажет, какие задачи решаются моделями в рознице: скоринг, оценка риска, прогноз поведения клиентов и персонализация предложений. Будут затронуты вопросы построения витрин данных, выбора метрик качества и организации полного жизненного цикла моделей — от разработки до мониторинга в продакшене. Отдельное внимание уделяется требованиям регулятора, интерпретируемости и контролю смещения данных, которые критичны для банковских моделей. На примерах будет показано, как развитие модельного контура влияет на скорость вывода продуктов и качество клиентского опыта. В завершение — практические выводы и направления дальнейшего развития розничной аналитики и ML в банке.</t>
  </si>
  <si>
    <t>В докладе представлен сервис геоаналитики для задач FinTech, который помогает принимать решения на основе пространственных данных. Разберем, какие источники геоданных используются, как они очищаются и обогащаются, и какие признаки извлекаются для моделей машинного обучения. Покажем типовые кейсы: оценка потенциала локаций, сегментация территорий, поиск аномалий и поддержка риск- и антифрод-процессов. Обсудим архитектуру пайплайна — от сбора и хранения до скоринга и визуализации на карте — и требования к качеству, задержкам и масштабированию. Отдельно затронем вопросы приватности и комплаенса при работе с чувствительными геоданными. В конце поделимся метриками, подходами к валидации и практическими выводами для внедрения геоML в продукт.</t>
  </si>
  <si>
    <t>Сенина А.С.</t>
  </si>
  <si>
    <t>Geoanalytics, ML, Fintech</t>
  </si>
  <si>
    <t>В докладе рассматривается, как машинное обучение меняет бухгалтерские процессы в финтехе: от распознавания и классификации первичных документов до автоматической сверки операций и выявления аномалий. Разберем типовой пайплайн «данные → модель → контроль качества → интеграция в учетную систему» и требования к данным, разметке и интерпретируемости результатов. Поговорим о снижении ручного труда и ошибок за счет интеллектуальных подсказок, автопроводок и предиктивных проверок корректности. Отдельное внимание уделим рискам: дрейфу данных, регуляторным ограничениям, безопасности и аудируемости решений. В конце обсудим, как измерять эффект (точность, экономия времени, финансовые потери от ошибок) и с чего начать внедрение ML в цифровую бухгалтерию.</t>
  </si>
  <si>
    <t>Доклад посвящён созданию «ИИ таможенного декларанта» — системы, которая помогает автоматически готовить и проверять таможенные декларации на основе документов и описаний товаров. Разберём, как NLP-модели извлекают ключевые сущности (коды ТН ВЭД, характеристики, стоимость, страну происхождения), сопоставляют их с требованиями регулятора и формируют структурированные поля для подачи. Поговорим о снижении рисков: валидации данных, объяснимости решений, трассируемости источников и контроле качества, чтобы соответствовать RegTech-практикам. Отдельно затронем работу с неоднозначностями и ошибками в исходных данных, а также сценарии «человек в контуре» для финального подтверждения. В итоге покажем, как такой инструмент ускоряет оформление, уменьшает количество возвратов и повышает комплаенс в цепочке внешнеэкономической деятельности.</t>
  </si>
  <si>
    <t>В докладе представлен SupTech Risk Radar — мультимодальная система для раннего выявления рисков в финансовых организациях на основе разнородных данных. Мы разберем, как объединять временные ряды регуляторной отчетности и транзакционных метрик с внешними сигналами, чтобы получать устойчивые индикаторы ухудшения состояния. Покажем архитектуру пайплайна: сбор и очистка данных, построение признаков, модели прогнозирования и ранжирование организаций по уровню риска. Обсудим, как подходы из рекомендательных систем помогают приоритизировать проверки и объяснять, какие факторы «подсветили» риск. Отдельно затронем вопросы качества и интерпретируемости, работу с пропусками и сдвигами в данных, а также мониторинг модели в продакшене. В конце — примеры сценариев применения для надзорных команд и типовые ошибки при внедрении предиктивной аналитики в финтехе.</t>
  </si>
  <si>
    <t>В докладе «Gradient» разберем, как градиентные методы становятся связующим звеном между моделированием физических процессов и промышленным машинным обучением. На примерах временных рядов из естественно-научных и производственных задач покажем, как строить устойчивые модели прогнозирования и выявлять режимы работы системы. Затем перейдем к обучению с подкреплением: как формулировать управление процессом как задачу оптимизации, выбирать награду и безопасно обучать агента на симуляторах и исторических данных. Обсудим практические ограничения — шум измерений, дрейф, редкие события и требования к интерпретируемости — и способы «приземлить» решения до пилота и внедрения. В итоге слушатели получат набор подходов, позволяющих объединить прогнозирование и управление в едином ML-контуре для реальных промышленных систем.</t>
  </si>
  <si>
    <t>В докладе представим GranTutor — систему на базе больших языковых моделей для калибровки и сопоставления уровня экспертизы специалистов в разных доменах. Мы разберем, как LLM используется для извлечения и нормализации сигналов из текстовых артефактов (резюме, описаний задач, ревью, ответов на вопросы) и как эти сигналы превращаются в сопоставимые шкалы компетенций. Покажем, как рекомендательные компоненты помогают подбирать задания и материалы для уточнения профиля, снижая неопределенность оценки и ускоряя рост навыков. Обсудим подходы к валидации: согласованность оценок, устойчивость к промпт-инъекциям и смещениям, а также метрики качества на исторических данных и в A/B-тестах. Отдельно затронем вопросы интерпретируемости и доверия: какие объяснения можно давать пользователю и менеджеру, и как управлять рисками галлюцинаций. Завершим практическими выводами о внедрении системы в процессы найма, грейдинга и обучения.</t>
  </si>
  <si>
    <t>В докладе расскажем о развитии ML-ядра для очистных сооружений, ориентированного на работу с временными рядами технологических параметров. Разберем, какие данные собираются на производстве, как обеспечивается их качество и синхронизация, и какие особенности реального процесса влияют на моделирование. Покажем подходы к прогнозированию и обнаружению аномалий, позволяющие заранее выявлять отклонения и снижать риски нарушений режима очистки. Обсудим выбор моделей и метрик с учетом сезонности, дрейфа и редких событий, а также организацию валидации на исторических и онлайн-данных. Отдельно затронем внедрение: мониторинг качества, переобучение, интерпретируемость и интеграцию с существующими системами управления. В результате слушатели получат практическое представление о том, как строить и развивать промышленное ML-решение для временных рядов в условиях реального производства.</t>
  </si>
  <si>
    <t>В докладе представлен ИИ-ассистент для фермеров, который помогает быстро получать прикладные рекомендации по агротехнике, защите растений и планированию работ на основе разрозненных источников данных. Мы разберем архитектуру решения на базе RAG: как подключаются локальные регламенты, журналы полевых работ, данные о погоде и справочники, и как обеспечивается проверяемость ответов через ссылки на первоисточники. Отдельное внимание уделим агентному подходу — разбиению задач на подзадачи (диагностика, подбор действий, расчет норм, формирование чек-листа) и оркестрации инструментов. Покажем, как MCP используется для стандартизированного подключения внешних сервисов и датчиков, а также для безопасного управления доступами и действиями ассистента. Обсудим типовые риски: галлюцинации, сезонность данных, ответственность рекомендаций, и способы снижения ошибок через правила, валидацию и человеческое подтверждение. В финале — сценарии внедрения в хозяйстве и метрики, по которым можно оценивать пользу ассистента в реальной эксплуатации.</t>
  </si>
  <si>
    <t>В докладе рассматривается система AI-навигации по строительному объекту, которая помогает сотрудникам и подрядчикам быстро ориентироваться в сложной и постоянно меняющейся среде. Мы обсудим, как автономные агенты и NLP позволяют принимать запросы на естественном языке (например, «где ближайший склад материалов?» или «как пройти к секции B, этаж 3») и превращать их в пошаговые маршруты и подсказки по контексту. Поговорим о построении модели объекта из планов, BIM/чертежей и оперативных данных, а также о том, как учитывать перекрытия, опасные зоны и временные проходы. Отдельное внимание уделим архитектуре агентов: планированию, проверке ограничений безопасности и обновлению знаний по мере изменения площадки. Разберем типовые сценарии внедрения — от мобильного ассистента для рабочих до диспетчерского интерфейса для руководителей работ. В конце обсудим метрики качества навигации и подходы к тестированию в условиях неполных и шумных данных.</t>
  </si>
  <si>
    <t>В докладе представим архитектуру автономной LLM-системы, которая не просто генерирует ответы, а строит «верифицируемое знание» с проверяемыми источниками и трассировкой рассуждений. Разберем, как агентный контур планирует задачи, собирает данные из внешних баз и документов, извлекает факты и формирует утверждения с привязкой к доказательствам. Покажем подходы к автоматической проверке: сопоставление с первоисточниками, кросс-проверка несколькими моделями и выявление противоречий в графе знаний. Обсудим, как снижать галлюцинации за счет RAG, строгих форматов вывода и оценочных метрик качества/достоверности. Отдельно затронем вопросы обновляемости знаний, управления контекстом и безопасного выполнения действий автономными агентами. В завершение поделимся практическими сценариями применения — от корпоративных ассистентов до систем поддержки решений, где критична проверяемость ответов.</t>
  </si>
  <si>
    <t>В докладе HandMarket рассматривается, как построить маркетплейс «ручного труда», в котором рекомендации помогают пользователю быстро находить подходящие товары и мастеров. Мы разберем архитектуру рекомендательной системы: от сбора событий и построения профилей до ранжирования и онлайн-обновления моделей. Отдельное внимание уделим NLP-компонентам — нормализации и обогащению карточек товаров, извлечению атрибутов из описаний, работе с поисковыми запросами и отзывами. Поговорим о холодном старте для новых продавцов и товаров, а также о том, как объединять контентные и поведенческие сигналы в гибридных моделях. Покажем, какие метрики и A/B-подходы использовать, чтобы оценивать качество рекомендаций и влияние на конверсию. В итоге слушатели получат практический план внедрения Recsys+NLP для персонализации и поиска в HandMarket.</t>
  </si>
  <si>
    <t>Макаров М.В.</t>
  </si>
  <si>
    <t>В докладе рассматривается создание поискового ассистента для фармацевтического ритейла, который помогает пользователям быстрее находить нужные препараты и товары, уточнять запросы и получать релевантные рекомендации. Основной акцент сделан на применении автономных агентов: как они планируют шаги поиска, задают уточняющие вопросы и собирают контекст (симптомы, действующее вещество, форма выпуска, ограничения) без потери контроля качества. Разберем архитектуру решения: оркестрацию агентов, подключение к каталогу и справочникам, работу с синонимами и ошибками ввода, а также механизмы безопасных ответов с учетом регуляторных требований и недопущения медицинских советов. Поговорим о том, как оценивать качество ассистента в продакшене — от метрик поиска и конверсии до тестов на галлюцинации и корректность ограничений. Отдельно обсудим типовые сценарии внедрения в e-commerce и офлайн-каналы, а также практические выводы по стоимости, скорости и поддержке.</t>
  </si>
  <si>
    <t>В докладе будет представлен Biogotchi — концепт MedTech-приложения, которое превращает заботу о здоровье в понятный и мотивирующий ежедневный процесс. Спикер расскажет, как «виртуальный питомец» может отражать состояние пользователя на основе биомаркеров и данных с носимых устройств, формируя привычки через игровые механики и персональные рекомендации. Обсудим, какие метрики действительно полезны, как избегать ложных выводов и не навредить пользователю избыточной интерпретацией данных. Отдельное внимание уделим приватности, хранению медицинской информации и требованиям к безопасности. Также разберем, как валидировать эффективность таких механик в клиническом и продуктовой смысле и какие ограничения важно заложить в дизайн. В итоге слушатели получат практическое представление о том, как проектировать вовлекающие MedTech-сервисы на стыке данных, UX и ответственности.</t>
  </si>
  <si>
    <t>В докладе рассматривается подход к автоматическому селф-ревью студенческих проектов с помощью автономных агентных систем. Поговорим о том, как агент может анализировать репозиторий, запускать проверки, находить типовые ошибки в архитектуре, стиле и тестах и формировать понятный список правок до сдачи работы. Разберем, как задавать критерии качества и рубрики оценки, чтобы рекомендации были воспроизводимыми и соответствовали требованиям курса, а не «вкусу» модели. Отдельно обсудим интеграцию в учебный процесс: CI/CD, комментарии в pull request, отчеты для преподавателя и обратную связь для студента. Затронем риски — галлюцинации, утечки данных, списывание — и способы их снижения через изоляцию окружения, источники истины и ограничение полномочий агента. В конце покажем, какие метрики помогают измерять пользу (снижение числа замечаний, ускорение ревью, рост качества) и где границы применимости решения.</t>
  </si>
  <si>
    <t>Во второй части ЕГЭ проверка развернутых ответов требует много времени и подвержена вариативности оценивания. В докладе рассматривается, как большие языковые модели могут помогать в автоматизированной проверке: выделять критерии, находить смысловые ошибки, оценивать структуру и аргументацию и формировать понятную обратную связь для ученика. Обсудим подходы к построению промптов и рубрик, способы калибровки модели под официальные критерии и методы снижения галлюцинаций и предвзятости. Покажем, как организовать пайплайн: от загрузки работ и анонимизации данных до выдачи результата и протоколирования решений. Отдельное внимание уделим метрикам качества (согласие с экспертами, стабильность, объяснимость) и ограничениям, при которых LLM должна работать как ассистент, а не как единственный проверяющий.</t>
  </si>
  <si>
    <t>В докладе рассматривается задача матчинга адресов: как автоматически сопоставлять адреса из разных источников, несмотря на опечатки, разные форматы и неполные данные. Разберем типичные проблемы — вариативность написания, сокращения, перестановки компонентов и неоднозначность геокодирования. Поговорим о пайплайне на стыке NLP и ML: нормализация и разбор адреса, генерация кандидатов, вычисление сходства и ранжирование совпадений. Сравним подходы от правил и словарей до эмбеддингов и моделей, обученных на парах «совпадает/не совпадает». Отдельно затронем метрики качества, пороги уверенности и обработку «серых зон», где требуется ручная валидация. В итоге слушатели получат практическое понимание, как построить устойчивый адресный матчинг для продакшена и снизить число ошибок в данных.</t>
  </si>
  <si>
    <t>Доклад посвящен проекту «Галка» — прикладному решению на базе NLP для автоматизации работы с текстами в продукте или внутренних процессах. Разберем, какие задачи он закрывает: извлечение сущностей и фактов, классификацию и маршрутизацию обращений, суммаризацию и поиск по смыслу. Поговорим о выборе моделей и данных, подготовке датасетов и метриках качества, а также о том, как уменьшать галлюцинации и контролировать ошибки. Отдельно рассмотрим архитектуру интеграции в существующие сервисы: пайплайны обработки, хранение эмбеддингов и требования к производительности. Покажем типовые сценарии использования и результаты пилота, включая влияние на скорость обработки и качество решений. В конце обсудим ограничения подхода и план развития «Галки» в сторону более надежных и объяснимых текстовых ассистентов.</t>
  </si>
  <si>
    <t>В докладе представлен «умный» генератор коммерческих предложений на базе методов машинного обучения и NLP, который помогает быстро собирать персонализированные КП под конкретного клиента. Разберем, как система извлекает ключевые требования из входных данных (брифов, переписки, описаний услуг) и превращает их в структурированный документ с корректной терминологией и тоном. Поговорим о выборе модели: от классических подходов к ранжированию и шаблонизации до LLM-пайплайна с контролем фактов и стилевыми ограничениями. Отдельное внимание уделим качеству: метрикам, ручной валидации, предотвращению галлюцинаций и защите конфиденциальных данных. Покажем, как встроить генератор в CRM/документооборот и организовать цикл обратной связи от менеджеров для дообучения. В конце обсудим типичные ошибки внедрения и практические рекомендации, позволяющие сократить время подготовки КП и повысить конверсию.</t>
  </si>
  <si>
    <t>В докладе представим голосовой тренажер для обучения и аттестации операторов службы поддержки на основе технологий распознавания и синтеза речи. Система имитирует реальные звонки: генерирует реплики клиента, распознает ответы оператора и оценивает их по качеству, полноте и соблюдению сценариев. Покажем, как используются NLP- и ML-модели для понимания намерений, извлечения ключевых сущностей и автоматической обратной связи по диалогу. Обсудим сбор и разметку данных, метрики качества, а также способы снизить ошибки ASR/TTS и повысить устойчивость к шуму и акцентам. Разберем архитектуру решения, интеграцию в учебный процесс и примеры типовых кейсов — от простых консультаций до конфликтных ситуаций. В завершение поделимся результатами пилота и планами развития: персонализация тренировок и адаптивные сценарии.</t>
  </si>
  <si>
    <t>В докладе рассмотрим, как построить современную систему управления идентификацией и доступом (IAM) для корпоративных сервисов: от жизненного цикла учетных записей до выдачи и отзыва прав. Разберем типовые архитектурные компоненты — SSO, MFA, RBAC/ABAC, аудит и интеграции с каталогами — и где чаще всего возникают уязвимости и операционные «узкие места». Отдельный фокус — применение LLM в IAM: автоматизация обработки заявок на доступ, нормализация ролей, поиск аномалий в логах и помощь в расследованиях, а также генерация политик и документации. Обсудим риски использования LLM в контуре безопасности (утечки, prompt-injection, галлюцинации, подмена решений) и практики снижения этих рисков: изоляция данных, RAG, контроль источников, human-in-the-loop и журналирование. В завершение — набор рекомендаций и критериев, по которым можно оценить готовность IAM-процессов к внедрению ассистентов на базе LLM без потери управляемости и соответствия требованиям.</t>
  </si>
  <si>
    <t>В докладе разберем, как применить NLP и автономных агентов для автоматизации полного цикла работы с данными: от извлечения и очистки до построения витрин и дашбордов. Поговорим о том, как агент может понимать бизнес-запрос на естественном языке, превращать его в план ETL, генерировать SQL/пайплайны и подбирать источники данных. Обсудим механизмы контроля качества: валидации, обнаружение аномалий, проверку схем и объяснимость преобразований. Покажем, как автоматизировать создание визуализаций — от выбора метрик и разрезов до генерации описаний и инсайтов для пользователей. Отдельно затронем вопросы безопасности и надежности: права доступа, работа с чувствительными данными, журналирование и «человека в контуре». В итоге вы получите практическую картину того, как внедрять агентные подходы в data-процессы, снижая время на рутину и ускоряя получение ценности от данных.</t>
  </si>
  <si>
    <t>В докладе будет представлен HART — подход к построению автономных агентов на базе NLP, способных самостоятельно планировать действия и выполнять задачи в реальных приложениях. Разберем архитектуру агента: восприятие текста, постановку цели, планирование, выполнение шагов и контур обратной связи для самокоррекции. Поговорим о том, как организовать память и контекст, чтобы агент сохранял устойчивость на длинных сценариях и не «забывал» важные ограничения. Отдельно обсудим инструменты (tools) и протоколы взаимодействия агента с внешними сервисами, а также способы снизить галлюцинации и повысить надежность. На примерах покажем типовые кейсы: ассистенты поддержки, автоматизация рутины и оркестрация бизнес-процессов. Завершим практическими рекомендациями по оценке качества и безопасности автономных агентов перед внедрением.</t>
  </si>
  <si>
    <t>Доклад посвящен применению методов машинного обучения в естественных науках на примере задач геномики. Мы разберем, как современные NLP-подходы помогают представлять ДНК/РНК как «язык» и извлекать из последовательностей признаки для классификации, аннотации и поиска функциональных участков. Покажем, как на базе этих представлений строить рекомендательные системы для подбора экспериментов, гипотез, реагентов или терапевтических кандидатов, сокращая цикл исследования. Отдельно обсудим автономных агентов, которые могут планировать вычислительные пайплайны, запускать анализ, интерпретировать результаты и оформлять отчеты для исследователя. Затронем вопросы качества данных, валидации, воспроизводимости и интерпретируемости моделей в научном контуре. В итоге сформируем практическую картину того, как собрать GenomeAI-стек от данных до ассистента, который ускоряет принятие решений в лаборатории.</t>
  </si>
  <si>
    <t>В докладе расскажем, как мы построили рекомендательную систему докладов для JUG на основе методов NLP. Разберем пайплайн: сбор и очистка данных о докладах, извлечение смысловых представлений из названий, описаний и тегов, а также формирование профиля интересов пользователя. Сравним контентный подход и гибридные схемы, обсудим выбор эмбеддингов, метрики близости и способы борьбы с «холодным стартом». Покажем, как оценивали качество рекомендаций офлайн и в продукте, и какие ошибки чаще всего встречаются (дубликаты, слишком общие темы, смещение к популярным докладам). Отдельно затронем вопросы интерпретируемости и приватности, если рекомендации строятся по истории просмотров. В конце поделимся практическими выводами и тем, как систему можно развивать дальше — от персонализации под роль и уровень до ранжирования по контексту конференции.</t>
  </si>
  <si>
    <t>В докладе представим сервис интеллектуального поиска по строительной документации, который помогает быстро находить нужные сведения в разрозненных сканах, PDF и чертежах. Покажем, как связка OCR и LLM превращает «неструктурные» документы в индексируемые данные и поддерживает поиск по смыслу, а не только по ключевым словам. Разберем пайплайн: извлечение текста и таблиц, очистка и нормализация, разметка контекста (разделы, спецификации, ссылки на листы) и построение поискового индекса. Обсудим сценарии использования: ответы на вопросы по проекту, поиск требований и материалов, сравнение версий и быстрые ссылки на первоисточник. Отдельно затронем качество распознавания, работу с терминологией и сокращениями, а также меры снижения галлюцинаций через цитирование фрагментов и проверку по источникам. В конце поделимся архитектурными решениями и метриками, по которым оцениваем точность и полезность сервиса для инженеров и сметчиков.</t>
  </si>
  <si>
    <t>Memorix — EdTech-продукт для ускорения запоминания и повторения учебного материала с помощью NLP. В докладе разберем, как из текста лекций, статей и конспектов автоматически извлекать ключевые понятия, строить карточки и вопросы, а также формировать персональные траектории повторения. Поговорим о качестве: как оценивать полезность сгенерированных заданий, снижать галлюцинации и поддерживать объяснимость для преподавателей и студентов. Покажем архитектуру сервиса, пайплайн обработки данных и варианты интеграции в LMS/мобильные приложения. Отдельно обсудим приватность и работу с пользовательскими данными, включая локальную обработку и анонимизацию. В итоге вы получите набор практик и решений, позволяющих быстро запустить умного помощника для обучения и удержания знаний.</t>
  </si>
  <si>
    <t>Adapstory — EdTech-проект, который помогает создавать и проходить адаптивные учебные истории: короткие интерактивные сценарии, подстраивающиеся под уровень и цели учащегося. В докладе разберем, как превращать учебный контент в ветвящиеся «сторис» с заданиями, подсказками и мгновенной обратной связью. Покажем, какие данные о прогрессе и поведении пользователя нужны, чтобы персонализировать траекторию и удерживать мотивацию. Обсудим принципы дизайна таких сценариев, типовые ошибки и способы измерять образовательный эффект. В завершение поделимся опытом внедрения в учебный процесс и тем, как масштабировать библиотеку историй под разные курсы и аудитории.</t>
  </si>
  <si>
    <t>В докладе расскажем о создании Text2SQL‑ассистента, который переводит запросы на естественном языке в корректный SQL для аналитических задач. Разберем, как устроен пайплайн на базе NLP: понимание намерения, извлечение сущностей, привязка к схеме данных и генерация запроса с учетом контекста. Обсудим способы повышения точности — использование метаданных, примеров запросов, валидацию и автокоррекцию SQL, а также обработку неоднозначностей через уточняющие вопросы. Покажем, как оценивать качество (execution accuracy, syntactic validity) и снижать риски галлюцинаций и утечек данных за счет ограничений и песочницы выполнения. Отдельно затронем интеграцию в BI/чат-интерфейсы и типовые сценарии: быстрые срезы, построение воронок и ad-hoc анализ без знания SQL.</t>
  </si>
  <si>
    <t>В докладе представлен ReqAssist — помощник на базе NLP и автономных агентов для работы с требованиями к продукту. Разберем, как агент извлекает требования из разрозненных источников (переписка, документы, тикеты), нормализует формулировки и выявляет противоречия, пробелы и дубликаты. Покажем, как система уточняет неоднозначности через диалог и предлагает вопросы стейкхолдерам, формируя согласованный бэклог. Обсудим архитектуру агентного контура: роли агентов, планирование шагов, инструменты поиска по базе знаний и контроль качества ответов. Отдельно затронем безопасность и управляемость: ограничения на действия, трассировка решений и оценка точности. В финале — демо сценариев внедрения в командные процессы и метрики, по которым можно измерять эффект.</t>
  </si>
  <si>
    <t>NLP, Agents, Requirements</t>
  </si>
  <si>
    <t>В докладе рассматривается AgentArea — подход к проектированию и эксплуатации автономных агентов, способных самостоятельно планировать действия, использовать инструменты и выполнять задачи с минимальным участием человека. Разберем, из каких компонентов складывается «среда агента»: контекст, память, планирование, наблюдение за результатами и контуры безопасности. Поговорим о типовых сценариях применения — от автоматизации рутины и поддержки пользователей до оркестрации процессов в продуктовых командах. Отдельное внимание уделим надежности: как ограничивать полномочия, предотвращать нежелательные действия и измерять качество работы агента. На практических примерах покажем, как организовать взаимодействие нескольких агентов и как выбирать уровень автономности под конкретную задачу. В конце сформулируем набор рекомендаций, позволяющих быстрее перейти от прототипа к устойчивому решению в продакшене.</t>
  </si>
  <si>
    <t>В докладе представим MediaTracking — бэкенд‑платформу для мониторинга медиапространства и извлечения смысла из больших потоков текстовых данных. Разберем архитектуру сервиса: сбор и нормализация источников, хранение, очереди обработки и API для поиска и аналитики. Покажем, как NLP‑модели используются для классификации материалов, выделения сущностей, тематического кластеринга и построения метрик тональности/упоминаний. Обсудим подходы к качеству: разметка данных, оценка моделей и борьба с шумом, дублями и спамом. Отдельно затронем вопросы производительности и масштабирования пайплайна, а также наблюдаемости и алертинга. В завершение поделимся практическими кейсами применения и тем, как интегрировать результаты в продуктовые и аналитические процессы.</t>
  </si>
  <si>
    <t>В докладе представим архитектуру ассистента для операторов call-центра, который в реальном времени распознаёт речь клиента и помогает формировать точные ответы. Покажем, как связка ASR и LLM превращает поток разговора в структурированный контекст, а RAG подключает актуальные знания из внутренних баз, регламентов и FAQ. Обсудим, как организовать поиск и цитирование источников, чтобы снизить риск «галлюцинаций» и повысить доверие к подсказкам. Разберём сценарии: подсказки следующей реплики, краткое резюме звонка, извлечение сущностей и автоматическое заполнение CRM. Отдельно затронем вопросы качества: метрики распознавания, релевантность выдачи, задержки и требования к безопасности данных. Завершим практическими выводами о внедрении такого решения в продакшн и типичных ошибках на старте.</t>
  </si>
  <si>
    <t>В докладе представим MODERA FASHION — прототип интеллектуальной платформы для модной индустрии, которая объединяет компьютерное зрение и NLP для автоматизации работы с контентом и ассортиментом. Покажем, как CV-модели распознают типы одежды, атрибуты (цвет, материал, силуэт) и формируют структурированные карточки товаров из фото и видео. Расскажем, как NLP-компоненты нормализуют описания, извлекают характеристики из текстов поставщиков и помогают искать и сопоставлять позиции между каталогами. Отдельно разберем автономных агентов, которые могут самостоятельно собирать данные, проверять качество разметки, запускать пайплайны обновления и предлагать улучшения витрины. Обсудим архитектуру решения, метрики качества и типичные ошибки (похожие фасоны, сложные принты, неоднозначные описания). Завершим практическими кейсами: ускорение онбординга товаров, повышение релевантности поиска и персонализация рекомендаций.</t>
  </si>
  <si>
    <t>В докладе представлен AIDA — диалоговый AI‑ассистент, построенный на современных подходах NLP. Разберем архитектуру решения: понимание намерений, извлечение сущностей, управление контекстом и генерацию ответов с учетом истории диалога. Поговорим о подготовке данных и обучении/дообучении моделей, а также о том, как измерять качество: точность интентов, полноту сущностей и метрики удовлетворенности пользователей. Отдельно затронем вопросы безопасности и надежности: фильтрация токсичности, защита персональных данных и обработка «неизвестных» запросов. Покажем типовые сценарии внедрения ассистента в продукты и практические рекомендации по итеративному улучшению на основе логов диалогов.</t>
  </si>
  <si>
    <t>В докладе представим HiveTrace — систему наблюдаемости и мониторинга приложений на базе больших языковых моделей, ориентированную на промышленную эксплуатацию. Разберем, какие метрики и события важно собирать в LLM‑пайплайнах: качество ответов, дрейф промптов и данных, стоимость и задержки, а также безопасность и утечки. Покажем, как трассировать цепочки вызовов, инструменты и действия автономных агентов, чтобы воспроизводить инциденты и находить первопричины ошибок. Обсудим подходы к автоматической оценке качества (evals), алертингу и построению дашбордов для разных ролей — от разработчиков до владельцев продукта. Отдельно затронем практики логирования и анонимизации текстовых данных в NLP‑сценариях, чтобы соблюсти требования комплаенса. Завершим кейсами внедрения и рекомендациями, как встроить мониторинг в CI/CD и жизненный цикл LLM‑функций.</t>
  </si>
  <si>
    <t>В докладе представим LOOQS AI — систему, объединяющую компьютерное зрение и обработку естественного языка для понимания визуального контента и работы с ним в привычном текстовом интерфейсе. Расскажем, как строится пайплайн: извлечение признаков из изображений/видео, их семантическое описание и последующая интерпретация запросов пользователя. Покажем типовые сценарии: поиск по смыслу, автоматическая разметка, ответы на вопросы по изображению и генерация кратких описаний. Обсудим, какие данные и метрики важны для качества, а также как бороться с ошибками распознавания и «галлюцинациями» в текстовых ответах. Отдельно затронем вопросы производительности и приватности при работе с визуальными данными. В конце поделимся выводами и направлениями развития продукта.</t>
  </si>
  <si>
    <t>Доклад посвящен созданию AI Sport Support — системы поддержки спортсменов и тренеров на базе компьютерного зрения. Рассмотрим, как с помощью CV можно автоматически распознавать упражнения, отслеживать позу и ключевые точки тела, считать повторы и оценивать качество выполнения движений. Поговорим о подготовке данных, выборе моделей и метриках, а также о типичных ошибках: окклюзии, разные ракурсы съемки и индивидуальные особенности техники. Отдельно обсудим сценарии применения: домашние тренировки, реабилитация и удаленный контроль прогресса. Покажем, как превратить результаты распознавания в понятные рекомендации и обратную связь в реальном времени. В конце разберем ограничения подхода и направления развития — от персонализации до работы на мобильных устройствах.</t>
  </si>
  <si>
    <t>Конева А.Р., Конева А.Р.</t>
  </si>
  <si>
    <t>В докладе представлен комплекс моделей машинного обучения для прогнозирования гололёдных явлений на основе метеорологических наблюдений и данных с промышленных объектов. Рассматриваются подходы к подготовке и валидации данных, выбор признаков и сравнение нескольких семейств моделей для задач классификации и краткосрочного прогноза. Отдельное внимание уделяется работе с редкими событиями, дисбалансом классов и оценке качества с учетом стоимости ошибок для эксплуатации. Показано, как объединение моделей в ансамбль повышает устойчивость прогнозов и снижает число ложных срабатываний. Обсуждается внедрение решения в производственный контур: мониторинг качества, переобучение и интеграция с системами предупреждения. В завершение приводятся практические результаты и рекомендации по масштабированию подхода на новые регионы и типы инфраструктуры.</t>
  </si>
  <si>
    <t>Доклад посвящен применению методов машинного обучения к задачам промышленности и естественных наук, где данные часто имеют вид временных рядов и требуют учета динамики процессов. Мы разберем, как строить модели прогнозирования и обнаружения аномалий на временных рядах и какие практические ограничения возникают при работе с реальными измерениями. Отдельное внимание уделим обучению с подкреплением как способу оптимизировать управление системой во времени: от постановки среды и награды до безопасного внедрения в контур принятия решений. На примерах обсудим, как объединять прогнозные модели и RL-политику, чтобы повышать устойчивость и эффективность технологических процессов. Также затронем вопросы валидации, интерпретируемости и переноса решений из лаборатории в эксплуатацию. В итоге слушатели получат набор подходов и типовых архитектур для построения ML-решений, работающих «в реальном времени» и приносящих измеримую пользу.</t>
  </si>
  <si>
    <t>В докладе представим AI-ассистента, который помогает инженерам при аварийном обслуживании оборудования: от первичной диагностики до подбора действий по устранению неисправности. Решение объединяет компьютерное зрение для распознавания состояния узлов по фото/видео и NLP для работы с текстовыми заявками, журналами и инструкциями. Ассистент извлекает релевантные фрагменты из базы знаний, предлагает пошаговые чек-листы, предупреждает о рисках и уточняет недостающие данные через диалог. Покажем, как организованы сбор и разметка данных, как оценивается качество рекомендаций и как снижались ложные срабатывания в условиях «полевой» съемки и шумных описаний. Отдельно обсудим интеграцию с CMMS/Service Desk и сценарии офлайн-работы на мобильных устройствах. В конце разберем результаты пилота: сокращение времени реакции, повышение точности классификации инцидентов и накопление знаний для последующих случаев.</t>
  </si>
  <si>
    <t>В докладе представлен Retopoflow — подход к автоматизации ретопологии 3D‑моделей с использованием ИИ. Разберем, как автономные агенты могут анализировать исходную высокополигональную геометрию, выделять ключевые формы и генерировать «чистую» топологию под анимацию и дальнейшее производство. Поговорим о том, как задаются ограничения: плотность сетки, направление лупов, сохранение силуэта и контроль деформаций. Покажем типовой пайплайн интеграции в DCC‑инструменты и места, где человеку все еще нужен быстрый ручной контроль. Обсудим метрики качества и типичные ошибки (артефакты на сочленениях, неудачные полюса, потеря деталей) и способы их исправления. В итоге вы получите представление, как применять автономных агентов для ускорения ретопологии без потери предсказуемости результата.</t>
  </si>
  <si>
    <t>В докладе расскажем о совместном проекте Biogotchi x Genotek на стыке естественных наук и машинного обучения, где данные о здоровье и биологических показателях превращаются в понятные пользователю рекомендации. Разберем, какие типы биомедицинских данных используются, как они подготавливаются и какие ограничения накладывают качество измерений и смещения выборок. Покажем, как ML-модели помогают находить закономерности, оценивать риски и персонализировать подсказки, сохраняя научную корректность выводов. Отдельно обсудим интерпретируемость, валидацию и то, как отличать статистические корреляции от потенциально значимых биологических сигналов. Затронем вопросы приватности и этики при работе с чувствительными данными, а также практические подходы к безопасной интеграции таких моделей в продукт. В конце поделимся уроками внедрения и направлениями развития платформы.</t>
  </si>
  <si>
    <t>В докладе разберем, как в финтехе строятся страновые рейтинги — интегральные оценки риска и привлекательности стран для кредитования, инвестиций и комплаенса. Поговорим о том, какие источники данных используются (макроэкономика, рынки, санкционные и политические факторы, новостные сигналы) и как их приводить к сопоставимому виду. Покажем типовой ML-пайплайн: формирование признаков, обучение моделей, калибровка и интерпретация итогового скоринга. Отдельно обсудим проблему смещения и неполноты данных, редкие события и стресс-сценарии, а также способы валидации качества рейтинга во времени. Затронем требования регуляторов и бизнеса: объяснимость, воспроизводимость и контроль дрейфа. В конце — практические рекомендации по внедрению рейтингов в процессы лимитов, ценообразования и мониторинга портфеля.</t>
  </si>
  <si>
    <t>В докладе представим AIDI — подход и прототип системы, которая использует NLP и автономных агентов для выполнения прикладных задач от постановки цели до получения результата. Разберем архитектуру: как агент понимает запрос на естественном языке, планирует шаги, выбирает инструменты и контролирует качество выполнения. Покажем, как организовать память, контекст и обмен сообщениями между агентами, чтобы снизить галлюцинации и повысить воспроизводимость. Обсудим сценарии применения: автоматизация рутины, анализ документов, поддержка пользователей и ассистирование разработчикам. Отдельно затронем вопросы безопасности, прав доступа и наблюдаемости — как понимать, что агент делает и почему. Завершим практическими рекомендациями по внедрению и метриками, по которым можно оценивать пользу AIDI в продукте.</t>
  </si>
  <si>
    <t>Аланова Ш.А, Волосников К.Д, Босина А.В</t>
  </si>
  <si>
    <t>В докладе представлен проект GigaSchool — образовательная платформа, в которой технологии NLP используются для персонализации обучения и автоматизации рутины преподавателя. Рассмотрим, как анализ текстов помогает оценивать ответы учащихся, выявлять пробелы в знаниях и подбирать следующий шаг обучения. Поговорим о генерации и адаптации учебных материалов, подсказок и тестовых заданий на основе контента курса. Отдельное внимание уделим качеству: метрикам, валидации результатов и снижению рисков галлюцинаций и предвзятости моделей. Разберем архитектуру решения и интеграцию NLP-компонентов в продуктовый контур, включая вопросы приватности и безопасности данных. В конце покажем практические сценарии использования и результаты пилота, которые можно перенести в другие edtech-проекты.</t>
  </si>
  <si>
    <t>Manuspect Briefing Platform — платформа для автоматизированной подготовки кратких брифингов и сводок по документам, перепискам и новостным потокам. В основе решения — NLP‑пайплайн, который извлекает факты, сущности и связи, нормализует терминологию и собирает итоговый «brief» под заданную цель и аудиторию. Автономные агенты берут на себя поиск и обновление источников, проверку согласованности данных, формирование тезисов и уточняющие вопросы к пользователю при нехватке контекста. В докладе разберем архитектуру: оркестрацию агентов, контуры качества (оценка достоверности, дедупликация, трассируемость) и интерфейс для совместной работы. Покажем сценарии применения — от аналитических обзоров и подготовки встреч до мониторинга рисков и инцидентов. Обсудим ограничения, безопасность и способы контролировать галлюцинации и утечки данных при работе с чувствительной информацией.</t>
  </si>
  <si>
    <t>В докладе представим Manuspect — систему на стыке NLP и распознавания речи, которая превращает аудиопоток в структурированные знания и действия. Разберем архитектуру пайплайна: от ASR и нормализации текста до извлечения сущностей, намерений и ключевых фактов. Покажем, как автономные агенты используют полученный контекст для выполнения задач: составления конспектов, поиска по разговорам, подготовки поручений и ответов. Обсудим качество распознавания в реальных условиях, работу с шумом и доменной лексикой, а также метрики и подходы к оценке. Отдельно затронем вопросы приватности и локальной обработки чувствительных данных. В конце поделимся практическими сценариями внедрения и типичными ошибками, которые стоит учесть при запуске в продакшене.</t>
  </si>
  <si>
    <t>В докладе расскажу о применении ИИ в музыке на примере задач сепарации и транскрибации аудио. Разберем, как современные модели выделяют вокал и инструменты из микса, какие данные и метрики качества для этого важны и где чаще всего возникают артефакты. Затем перейдем к автоматической транскрибации: как из звуковой дорожки получить ноты, темп и структуру, и почему полифония и «живое» исполнение остаются сложными кейсами. Обсудим типичный пайплайн от подготовки датасета до инференса и интеграции в продукт — от офлайн-обработки до работы почти в реальном времени. В конце сравним практические сценарии использования: ремиксы, караоке, обучение музыке, поиск по мелодии и помощь звукорежиссеру, а также ограничения и этические вопросы.</t>
  </si>
  <si>
    <t>GoalMate — проект персонального помощника для постановки и достижения целей на базе NLP и автономных агентов. В докладе расскажем, как система превращает свободный текст пользователя в структуру целей, задач и привычек, уточняет контекст вопросами и предлагает реалистичный план действий. Покажем, как агенты распределяют роли (планирование, напоминания, поиск информации, контроль прогресса) и координируются между собой, чтобы сопровождать пользователя без постоянного ручного управления. Обсудим подходы к памяти и персонализации: как хранить предпочтения, историю и ограничения, не теряя объяснимость рекомендаций. Разберем типовые риски — галлюцинации, безопасность, приватность и оценку качества — и какие механизмы помогают держать поведение агента в рамках. Завершим демонстрацией сценариев использования и выводами о том, где автономность действительно повышает эффективность, а где нужна «человеческая» точка контроля.</t>
  </si>
  <si>
    <t>Доклад посвящен AutoCV — подходу к автоматизации задач компьютерного зрения в прикладных проектах. Разберем, как выстроить пайплайн от сбора и разметки данных до обучения, валидации и деплоя модели, минимизируя ручной труд и время итераций. Поговорим о выборе базовых архитектур, аугментациях и метриках качества для типовых задач (классификация, детекция, сегментация). Отдельно обсудим практические компромиссы: качество vs скорость, требования к данным и переносимость решений между доменами. В конце покажу, как интегрировать результат в продукт и организовать мониторинг деградации на реальных данных.</t>
  </si>
  <si>
    <t>В докладе расскажу о проекте «Контур ИИ аналитик» — помощнике для аналитиков, который превращает естественный язык в понятные инсайты и действия. Разберем, как с помощью NLP система принимает запросы «по-человечески», извлекает сущности и намерения, и сопоставляет их с данными и метриками компании. Поговорим об архитектуре пайплайна: подготовка данных, промптинг/модели, постобработка и проверка качества ответов. Отдельно затронем типичные риски — галлюцинации, утечки, смещение и интерпретируемость — и способы их контроля через валидацию, ограничения и мониторинг. Покажу примеры сценариев: генерация отчетов, поиск аномалий, объяснение изменений метрик и формирование гипотез. В конце обсудим, как внедрять такого ассистента в процессы, чтобы он ускорял работу, а не создавал новый слой сложности.</t>
  </si>
  <si>
    <t>Доклад посвящен проекту «Нить» — инструменту на базе NLP, который помогает превращать разрозненные тексты в связный «поток» смысла: от заметок и переписок до требований и документации. Мы разберем, как извлекать сущности и намерения, строить семантические связи и собирать из них последовательный нарратив или план действий. Покажем, как «Нить» справляется с шумом, неоднозначностями и контекстными разрывами, и какие метрики качества подходят для оценки таких систем. Отдельно обсудим архитектуру пайплайна: подготовку данных, выбор моделей, постобработку и интеграцию в продуктовые сценарии. В конце — практические кейсы применения и ограничения подхода, о которых важно знать до внедрения.</t>
  </si>
  <si>
    <t>В докладе «EIDOS» рассматривается подход к созданию автономных агентов на базе современных NLP-моделей, способных самостоятельно планировать действия и выполнять задачи в цифровой среде. Мы разберем, из каких компонентов складывается агент: понимание запроса, постановка цели, планирование, вызов инструментов и контроль качества результата. Отдельное внимание уделим памяти и контексту — как хранить знания, извлекать их и не терять управляемость при росте сложности сценариев. Поговорим о типичных сбоях (галлюцинации, зацикливание, неверные действия) и практиках, которые повышают надежность: ограничения, валидация, наблюдаемость и безопасные политики. На примерах покажем, где автономные агенты дают реальную пользу: поддержка пользователей, автоматизация рутины, анализ документов и оркестрация процессов. В конце обсудим, как оценивать эффективность агентов и какие метрики подходят для задач с открытым ответом.</t>
  </si>
  <si>
    <t>В докладе «PsyGhost» рассматривается, как методы NLP и обучение с подкреплением можно объединить для создания «психологически» устойчивого диалогового агента. Поговорим о том, как формализовать цели общения и превратить качество диалога в сигнал награды: от безопасности и эмпатии до удержания контекста и следования правилам. Разберем, какие данные и разметка нужны, как строить симуляции пользователей и как избегать «призрачных» артефактов — галлюцинаций, токсичности и непредсказуемых стратегий оптимизации. Покажем типичный пайплайн: базовая языковая модель, RL-тюнинг, автоматические метрики и человеческая оценка. Отдельно обсудим практические ограничения: стоимость обучения, дрейф поведения, интерпретируемость и контроль. В итоге вы получите набор подходов, которые помогают делать диалоговые системы более управляемыми и полезными в реальных продуктах.</t>
  </si>
  <si>
    <t>В докладе будет представлен HART — подход к построению автономных агентов на базе современных NLP/LLM, способных планировать действия и выполнять задачи без постоянного участия человека. Разберем архитектуру агента: восприятие входных данных, формирование целей, планирование, выбор инструментов и контур обратной связи. Поговорим о том, как организовать память и контекст, чтобы агент сохранял устойчивость на длинных сценариях и не «забывал» важные ограничения. Отдельно обсудим оценку качества: метрики, тестовые наборы и практики безопасного запуска в продакшене. На примерах покажем типовые кейсы — от ассистента для поддержки и поиска знаний до автоматизации рутинных процессов — и где автономность действительно дает выигрыш. Завершим разбором ограничений и рисков (галлюцинации, безопасность, стоимость) и рекомендациями по внедрению.</t>
  </si>
  <si>
    <t>Predisense — инструмент, который помогает продавцам на Wildberries находить и прогнозировать товарные тренды на основе данных маркетплейса и внешних сигналов. В докладе разберем, как с помощью NLP извлекать смысл из поисковых запросов, описаний и отзывов, объединять их в устойчивые темы и отслеживать динамику спроса. Покажем, как автономные агенты автоматизируют цикл аналитики: сбор данных, очистку, построение гипотез, генерацию инсайтов и подготовку рекомендаций по ассортименту и контенту карточек. Обсудим, как оценивать качество прогнозов и снижать риски галлюцинаций за счет правил, валидации и воспроизводимых пайплайнов. Отдельно затронем вопросы масштабирования, стоимости вычислений и интеграции в рабочие процессы команды. В итоге вы поймете, как построить «ИИ-аналитика», который превращает разрозненные сигналы в конкретные решения для роста продаж.</t>
  </si>
  <si>
    <t>Доклад посвящен ReqAssist — инструменту на базе NLP и автономных агентов, который помогает превращать разрозненные пожелания стейкхолдеров в проверяемые требования. Разберем, как агент извлекает сущности и ограничения из текста, выявляет противоречия и пробелы, а затем задает уточняющие вопросы, чтобы довести формулировки до уровня user stories и acceptance criteria. Покажем, как выстраивается цикл «черновик → проверка → уточнение → согласование» и какие метрики качества применимы к требованиям. Обсудим архитектуру: оркестрацию агентов, работу с контекстом, источники знаний и контроль галлюцинаций. Отдельно затронем вопросы безопасности и трассируемости изменений, чтобы результат можно было использовать в реальных процессах разработки. В конце — демонстрация сценариев применения и типичные ошибки при внедрении.</t>
  </si>
  <si>
    <t>Доклад посвящён SocraticMath — подходу к решению математических задач с помощью автономных агентов, которые ведут пользователя через рассуждение в «сократическом» стиле. Мы разберём, как агент формулирует наводящие вопросы, проверяет промежуточные шаги и помогает находить ошибки, не подменяя собой мышление человека. Поговорим об архитектуре: планирование, память, инструменты для вычислений и валидации, а также управление уровнем подсказок. Отдельно обсудим риски галлюцинаций и способы повысить надёжность: проверяемые цепочки вывода, тестовые наборы и ограничение действий агента. В конце покажем сценарии применения — от обучения и подготовки к экзаменам до встроенных помощников в образовательных продуктах.</t>
  </si>
  <si>
    <t>TOPIK Master — EdTech-проект, помогающий готовиться к экзамену TOPIK по корейскому языку с опорой на персонализированные траектории обучения. В докладе будет разобрано, как устроен продукт: от структуры контента (лексика, грамматика, аудирование, чтение) до механик тренировки и повторения. Поговорим о диагностике уровня, подборе заданий по слабым местам и сборе прогресса в понятные метрики. Отдельное внимание уделим тому, как поддерживать мотивацию пользователя через цели, короткие сессии и регулярную обратную связь. В конце обсудим, какие продуктовые и методические решения дают наибольший эффект и как масштабировать платформу под разные уровни и форматы подготовки.</t>
  </si>
  <si>
    <t>SYNTERA — проект об автономных агентных системах, которые способны самостоятельно планировать действия, выполнять задачи и адаптироваться к изменениям среды. В докладе рассматривается архитектура агента: постановка цели, разбиение на подзадачи, выбор инструментов и контроль качества результата. Обсудим, как организовать память, контекст и обратную связь, чтобы агент не «галлюцинировал» и не зацикливался. Отдельное внимание уделим оркестрации нескольких агентов: распределению ролей, протоколам взаимодействия и разрешению конфликтов. Покажем практические сценарии применения SYNTERA — от автоматизации рутины до поддержки разработки и операций. Завершим разбором рисков (безопасность, доступы, стоимость) и рекомендациями по внедрению в продуктовые процессы.</t>
  </si>
  <si>
    <t>В докладе представим AIDI — подход/платформу для создания и внедрения решений на базе NLP с использованием автономных агентов. Разберем, как агенты планируют действия, используют инструменты и контекст, а также взаимодействуют друг с другом для выполнения сложных задач. Покажем типовую архитектуру: оркестрация, память, RAG/поиск знаний, наблюдаемость и контуры безопасности. На примерах рассмотрим сценарии применения: поддержка пользователей, обработка документов и автоматизация внутренних процессов. Обсудим ограничения (галлюцинации, стоимость, приватность) и практики их снижения — от тестирования до политик доступа и человеческого контроля. В конце дадим рекомендации по запуску пилота и метрикам качества для оценки эффекта в продукте.</t>
  </si>
  <si>
    <t>Доклад посвящен проекту GenomeAI — применению методов машинного обучения в естественных науках для анализа и интерпретации геномных данных. Мы разберем, как связать разнородные биологические источники с помощью NLP-подходов и построения семантических представлений, чтобы ускорить поиск знаний и гипотез. Покажем, как рекомендательные системы помогают подбирать релевантные гены, варианты, статьи и эксперименты под конкретную задачу исследователя. Отдельно обсудим автономных агентов, которые могут автоматически собирать данные, формировать пайплайны анализа и предлагать следующие шаги в исследовании. Поговорим о практических ограничениях: качество разметки, воспроизводимость, интерпретируемость и риски ложных корреляций. В конце поделимся архитектурой решения и сценариями внедрения в научные и прикладные биомедицинские проекты.</t>
  </si>
  <si>
    <t>Обучающий курс по созданию автономного ИИ-стримера (NetTyan). Участники учатся делать цифровых персонажей с эмоциями, памятью и интерактивностью.</t>
  </si>
  <si>
    <t xml:space="preserve">Разработка AI - агента с акцентом на процессы онбординга и адаптации кадров в компаниях, опыт первого пользователя фреймворка. </t>
  </si>
  <si>
    <t>Агрегирует и анализирует геоданные для прогнозирования по отраслям. Помогает бизнесу принимать решения на основе пространственной аналитики.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</si>
</sst>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sz val="11.0"/>
      <color theme="1"/>
      <name val="Arial"/>
      <scheme val="minor"/>
    </font>
    <font>
      <color rgb="FF000000"/>
      <name val="Arial"/>
    </font>
    <font>
      <color theme="1"/>
      <name val="Arial"/>
      <scheme val="minor"/>
    </font>
    <font>
      <color rgb="FF000000"/>
      <name val="Arial"/>
      <scheme val="minor"/>
    </font>
    <font>
      <color rgb="FF000000"/>
      <name val="Calibri"/>
    </font>
    <font>
      <color theme="1"/>
      <name val="Arial"/>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readingOrder="0" shrinkToFit="0" wrapText="1"/>
    </xf>
    <xf borderId="0" fillId="2" fontId="1" numFmtId="0" xfId="0" applyAlignment="1" applyFont="1">
      <alignment readingOrder="0"/>
    </xf>
    <xf borderId="0" fillId="2" fontId="1" numFmtId="164" xfId="0" applyAlignment="1" applyFont="1" applyNumberFormat="1">
      <alignment readingOrder="0"/>
    </xf>
    <xf borderId="0" fillId="2" fontId="1" numFmtId="0" xfId="0" applyFont="1"/>
    <xf borderId="0" fillId="0" fontId="2" numFmtId="0" xfId="0" applyAlignment="1" applyFont="1">
      <alignment horizontal="left" readingOrder="0" shrinkToFit="0" vertical="bottom" wrapText="0"/>
    </xf>
    <xf borderId="0" fillId="0" fontId="2" numFmtId="0" xfId="0" applyAlignment="1" applyFont="1">
      <alignment horizontal="left" readingOrder="0" vertical="bottom"/>
    </xf>
    <xf borderId="0" fillId="0" fontId="2" numFmtId="0" xfId="0" applyAlignment="1" applyFont="1">
      <alignment horizontal="right" readingOrder="0" vertical="bottom"/>
    </xf>
    <xf borderId="0" fillId="0" fontId="2" numFmtId="164" xfId="0" applyAlignment="1" applyFont="1" applyNumberFormat="1">
      <alignment horizontal="right" readingOrder="0" vertical="bottom"/>
    </xf>
    <xf borderId="0" fillId="0" fontId="2" numFmtId="49" xfId="0" applyAlignment="1" applyFont="1" applyNumberFormat="1">
      <alignment horizontal="right" readingOrder="0" vertical="bottom"/>
    </xf>
    <xf borderId="0" fillId="0" fontId="2" numFmtId="20" xfId="0" applyAlignment="1" applyFont="1" applyNumberFormat="1">
      <alignment horizontal="right" readingOrder="0" vertical="bottom"/>
    </xf>
    <xf borderId="0" fillId="0" fontId="3" numFmtId="0" xfId="0" applyFont="1"/>
    <xf borderId="0" fillId="0" fontId="3" numFmtId="0" xfId="0" applyAlignment="1" applyFont="1">
      <alignment readingOrder="0" shrinkToFit="0" wrapText="0"/>
    </xf>
    <xf borderId="0" fillId="0" fontId="4" numFmtId="0" xfId="0" applyAlignment="1" applyFont="1">
      <alignment horizontal="left" readingOrder="0" vertical="bottom"/>
    </xf>
    <xf borderId="0" fillId="0" fontId="4" numFmtId="20" xfId="0" applyAlignment="1" applyFont="1" applyNumberFormat="1">
      <alignment horizontal="right" readingOrder="0" vertical="bottom"/>
    </xf>
    <xf borderId="0" fillId="3" fontId="2" numFmtId="0" xfId="0" applyAlignment="1" applyFill="1" applyFont="1">
      <alignment horizontal="left" readingOrder="0" shrinkToFit="0" wrapText="0"/>
    </xf>
    <xf borderId="0" fillId="0" fontId="5" numFmtId="0" xfId="0" applyAlignment="1" applyFont="1">
      <alignment horizontal="left" readingOrder="0" shrinkToFit="0" vertical="bottom" wrapText="0"/>
    </xf>
    <xf borderId="0" fillId="3" fontId="2" numFmtId="0" xfId="0" applyAlignment="1" applyFont="1">
      <alignment horizontal="left" readingOrder="0" shrinkToFit="0" vertical="bottom" wrapText="0"/>
    </xf>
    <xf borderId="0" fillId="3" fontId="3" numFmtId="0" xfId="0" applyAlignment="1" applyFont="1">
      <alignment horizontal="left" readingOrder="0" shrinkToFit="0" wrapText="0"/>
    </xf>
    <xf borderId="0" fillId="3" fontId="3" numFmtId="0" xfId="0" applyAlignment="1" applyFont="1">
      <alignment horizontal="left" readingOrder="0" shrinkToFit="0" vertical="bottom" wrapText="0"/>
    </xf>
    <xf borderId="0" fillId="3" fontId="2" numFmtId="0" xfId="0" applyAlignment="1" applyFont="1">
      <alignment horizontal="left" readingOrder="0" shrinkToFit="0" vertical="top" wrapText="0"/>
    </xf>
    <xf borderId="0" fillId="3" fontId="3" numFmtId="0" xfId="0" applyAlignment="1" applyFont="1">
      <alignment horizontal="left" readingOrder="0" shrinkToFit="0" vertical="top" wrapText="0"/>
    </xf>
    <xf borderId="0" fillId="0" fontId="3" numFmtId="0" xfId="0" applyAlignment="1" applyFont="1">
      <alignment horizontal="left" readingOrder="0" shrinkToFit="0" vertical="bottom" wrapText="0"/>
    </xf>
    <xf borderId="0" fillId="0" fontId="3" numFmtId="0" xfId="0" applyAlignment="1" applyFont="1">
      <alignment shrinkToFit="0" wrapText="0"/>
    </xf>
    <xf borderId="0" fillId="0" fontId="6" numFmtId="164" xfId="0" applyAlignment="1" applyFont="1" applyNumberFormat="1">
      <alignment horizontal="right" readingOrder="0" vertical="bottom"/>
    </xf>
    <xf borderId="0" fillId="0" fontId="3" numFmtId="20" xfId="0" applyAlignment="1" applyFont="1" applyNumberFormat="1">
      <alignment readingOrder="0" shrinkToFit="0" wrapText="1"/>
    </xf>
    <xf borderId="0" fillId="0" fontId="3" numFmtId="164" xfId="0" applyFont="1" applyNumberFormat="1"/>
    <xf borderId="0" fillId="0" fontId="3" numFmtId="0" xfId="0" applyAlignment="1" applyFont="1">
      <alignment readingOrder="0"/>
    </xf>
    <xf borderId="0" fillId="0" fontId="3" numFmtId="0" xfId="0" applyAlignment="1" applyFont="1">
      <alignment readingOrder="0" shrinkToFit="0" wrapText="1"/>
    </xf>
    <xf borderId="0" fillId="3" fontId="2" numFmtId="0" xfId="0" applyAlignment="1" applyFont="1">
      <alignment horizontal="left" readingOrder="0"/>
    </xf>
    <xf borderId="0" fillId="0" fontId="5" numFmtId="0" xfId="0" applyAlignment="1" applyFont="1">
      <alignment horizontal="left" readingOrder="0" vertical="bottom"/>
    </xf>
    <xf borderId="0" fillId="3" fontId="2" numFmtId="0" xfId="0" applyAlignment="1" applyFont="1">
      <alignment horizontal="left" readingOrder="0" vertical="bottom"/>
    </xf>
    <xf borderId="0" fillId="3" fontId="3" numFmtId="0" xfId="0" applyAlignment="1" applyFont="1">
      <alignment horizontal="left" readingOrder="0"/>
    </xf>
    <xf borderId="0" fillId="3" fontId="3" numFmtId="0" xfId="0" applyAlignment="1" applyFont="1">
      <alignment horizontal="left" readingOrder="0" vertical="bottom"/>
    </xf>
    <xf borderId="0" fillId="3" fontId="2" numFmtId="0" xfId="0" applyAlignment="1" applyFont="1">
      <alignment horizontal="left" readingOrder="0" vertical="top"/>
    </xf>
    <xf borderId="0" fillId="3" fontId="3" numFmtId="0" xfId="0" applyAlignment="1" applyFont="1">
      <alignment horizontal="left" readingOrder="0" vertical="top"/>
    </xf>
    <xf borderId="0" fillId="0" fontId="3" numFmtId="0" xfId="0" applyAlignment="1" applyFont="1">
      <alignment horizontal="left" readingOrder="0" vertical="bottom"/>
    </xf>
    <xf borderId="0" fillId="0" fontId="3" numFmtId="0" xfId="0" applyAlignment="1" applyFont="1">
      <alignment shrinkToFit="0" wrapText="1"/>
    </xf>
    <xf borderId="0" fillId="0" fontId="6" numFmtId="20" xfId="0" applyAlignment="1" applyFont="1" applyNumberFormat="1">
      <alignment horizontal="right" vertical="bottom"/>
    </xf>
    <xf borderId="0" fillId="0" fontId="6" numFmtId="0" xfId="0" applyAlignment="1" applyFont="1">
      <alignment horizontal="right" readingOrder="0" vertical="bottom"/>
    </xf>
    <xf borderId="0" fillId="0" fontId="6" numFmtId="0" xfId="0" applyAlignment="1" applyFont="1">
      <alignment readingOrder="0" vertical="bottom"/>
    </xf>
    <xf borderId="0" fillId="0" fontId="6" numFmtId="49" xfId="0" applyAlignment="1" applyFont="1" applyNumberFormat="1">
      <alignment horizontal="right" readingOrder="0" vertical="bottom"/>
    </xf>
    <xf borderId="0" fillId="0" fontId="6" numFmtId="20"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38"/>
    <col customWidth="1" min="2" max="2" width="42.63"/>
    <col customWidth="1" min="3" max="3" width="24.88"/>
    <col customWidth="1" min="11" max="11" width="84.75"/>
  </cols>
  <sheetData>
    <row r="1" ht="22.5" customHeight="1">
      <c r="A1" s="1" t="s">
        <v>0</v>
      </c>
      <c r="B1" s="1" t="s">
        <v>1</v>
      </c>
      <c r="C1" s="2" t="s">
        <v>2</v>
      </c>
      <c r="D1" s="3" t="s">
        <v>3</v>
      </c>
      <c r="E1" s="3" t="s">
        <v>4</v>
      </c>
      <c r="F1" s="4" t="s">
        <v>5</v>
      </c>
      <c r="G1" s="3" t="s">
        <v>6</v>
      </c>
      <c r="H1" s="3" t="s">
        <v>7</v>
      </c>
      <c r="I1" s="3" t="s">
        <v>8</v>
      </c>
      <c r="J1" s="3" t="s">
        <v>9</v>
      </c>
      <c r="K1" s="1" t="s">
        <v>10</v>
      </c>
      <c r="L1" s="5"/>
      <c r="M1" s="5"/>
      <c r="N1" s="5"/>
      <c r="O1" s="5"/>
      <c r="P1" s="5"/>
      <c r="Q1" s="5"/>
      <c r="R1" s="5"/>
      <c r="S1" s="5"/>
      <c r="T1" s="5"/>
      <c r="U1" s="5"/>
      <c r="V1" s="5"/>
      <c r="W1" s="5"/>
      <c r="X1" s="5"/>
      <c r="Y1" s="5"/>
      <c r="Z1" s="5"/>
      <c r="AA1" s="5"/>
    </row>
    <row r="2" ht="22.5" customHeight="1">
      <c r="A2" s="6" t="s">
        <v>11</v>
      </c>
      <c r="B2" s="6" t="s">
        <v>12</v>
      </c>
      <c r="C2" s="7" t="s">
        <v>13</v>
      </c>
      <c r="D2" s="8">
        <v>1.0</v>
      </c>
      <c r="E2" s="7" t="s">
        <v>14</v>
      </c>
      <c r="F2" s="9">
        <v>46044.0</v>
      </c>
      <c r="G2" s="10" t="s">
        <v>15</v>
      </c>
      <c r="H2" s="11">
        <f t="shared" ref="H2:H211" si="1">G2 + Time(0,15,0)</f>
        <v>0.4479166667</v>
      </c>
      <c r="I2" s="7" t="s">
        <v>16</v>
      </c>
      <c r="J2" s="7" t="s">
        <v>17</v>
      </c>
      <c r="K2" s="7" t="s">
        <v>18</v>
      </c>
      <c r="L2" s="12">
        <f>IFERROR(__xludf.DUMMYFUNCTION("COUNTUNIQUE($B$2:B2)"),1.0)</f>
        <v>1</v>
      </c>
    </row>
    <row r="3" ht="22.5" customHeight="1">
      <c r="A3" s="6" t="s">
        <v>19</v>
      </c>
      <c r="B3" s="6" t="s">
        <v>20</v>
      </c>
      <c r="C3" s="7" t="s">
        <v>21</v>
      </c>
      <c r="D3" s="8">
        <v>1.0</v>
      </c>
      <c r="E3" s="7" t="s">
        <v>14</v>
      </c>
      <c r="F3" s="9">
        <v>46044.0</v>
      </c>
      <c r="G3" s="11">
        <v>0.4479166666666667</v>
      </c>
      <c r="H3" s="11">
        <f t="shared" si="1"/>
        <v>0.4583333333</v>
      </c>
      <c r="I3" s="7" t="s">
        <v>22</v>
      </c>
      <c r="J3" s="7" t="s">
        <v>17</v>
      </c>
      <c r="K3" s="7" t="s">
        <v>23</v>
      </c>
      <c r="L3" s="12">
        <f>IFERROR(__xludf.DUMMYFUNCTION("COUNTUNIQUE($B$2:B3)"),2.0)</f>
        <v>2</v>
      </c>
    </row>
    <row r="4" ht="22.5" customHeight="1">
      <c r="A4" s="6" t="s">
        <v>24</v>
      </c>
      <c r="B4" s="6" t="s">
        <v>25</v>
      </c>
      <c r="C4" s="7" t="s">
        <v>26</v>
      </c>
      <c r="D4" s="8">
        <v>1.0</v>
      </c>
      <c r="E4" s="7" t="s">
        <v>14</v>
      </c>
      <c r="F4" s="9">
        <v>46044.0</v>
      </c>
      <c r="G4" s="11">
        <v>0.4583333333333333</v>
      </c>
      <c r="H4" s="11">
        <f t="shared" si="1"/>
        <v>0.46875</v>
      </c>
      <c r="I4" s="7" t="s">
        <v>27</v>
      </c>
      <c r="J4" s="7" t="s">
        <v>17</v>
      </c>
      <c r="K4" s="7" t="s">
        <v>28</v>
      </c>
      <c r="L4" s="12">
        <f>IFERROR(__xludf.DUMMYFUNCTION("COUNTUNIQUE($B$2:B4)"),3.0)</f>
        <v>3</v>
      </c>
    </row>
    <row r="5" ht="22.5" customHeight="1">
      <c r="A5" s="6" t="s">
        <v>29</v>
      </c>
      <c r="B5" s="6" t="s">
        <v>30</v>
      </c>
      <c r="C5" s="7" t="s">
        <v>31</v>
      </c>
      <c r="D5" s="8">
        <v>1.0</v>
      </c>
      <c r="E5" s="7" t="s">
        <v>14</v>
      </c>
      <c r="F5" s="9">
        <v>46044.0</v>
      </c>
      <c r="G5" s="11">
        <v>0.46875</v>
      </c>
      <c r="H5" s="11">
        <f t="shared" si="1"/>
        <v>0.4791666667</v>
      </c>
      <c r="I5" s="7" t="s">
        <v>32</v>
      </c>
      <c r="J5" s="7" t="s">
        <v>17</v>
      </c>
      <c r="K5" s="7" t="s">
        <v>33</v>
      </c>
      <c r="L5" s="12">
        <f>IFERROR(__xludf.DUMMYFUNCTION("COUNTUNIQUE($B$2:B5)"),4.0)</f>
        <v>4</v>
      </c>
    </row>
    <row r="6" ht="22.5" customHeight="1">
      <c r="A6" s="6" t="s">
        <v>34</v>
      </c>
      <c r="B6" s="6" t="s">
        <v>35</v>
      </c>
      <c r="C6" s="7" t="s">
        <v>36</v>
      </c>
      <c r="D6" s="8">
        <v>1.0</v>
      </c>
      <c r="E6" s="7" t="s">
        <v>14</v>
      </c>
      <c r="F6" s="9">
        <v>46044.0</v>
      </c>
      <c r="G6" s="11">
        <v>0.4791666666666667</v>
      </c>
      <c r="H6" s="11">
        <f t="shared" si="1"/>
        <v>0.4895833333</v>
      </c>
      <c r="I6" s="7" t="s">
        <v>37</v>
      </c>
      <c r="J6" s="7" t="s">
        <v>17</v>
      </c>
      <c r="K6" s="7" t="s">
        <v>38</v>
      </c>
      <c r="L6" s="12">
        <f>IFERROR(__xludf.DUMMYFUNCTION("COUNTUNIQUE($B$2:B6)"),5.0)</f>
        <v>5</v>
      </c>
    </row>
    <row r="7" ht="22.5" customHeight="1">
      <c r="A7" s="6" t="s">
        <v>39</v>
      </c>
      <c r="B7" s="6" t="s">
        <v>40</v>
      </c>
      <c r="C7" s="7" t="s">
        <v>41</v>
      </c>
      <c r="D7" s="8">
        <v>1.0</v>
      </c>
      <c r="E7" s="7" t="s">
        <v>14</v>
      </c>
      <c r="F7" s="9">
        <v>46044.0</v>
      </c>
      <c r="G7" s="11">
        <v>0.4895833333333333</v>
      </c>
      <c r="H7" s="11">
        <f t="shared" si="1"/>
        <v>0.5</v>
      </c>
      <c r="I7" s="7" t="s">
        <v>37</v>
      </c>
      <c r="J7" s="7" t="s">
        <v>17</v>
      </c>
      <c r="K7" s="7" t="s">
        <v>42</v>
      </c>
      <c r="L7" s="12">
        <f>IFERROR(__xludf.DUMMYFUNCTION("COUNTUNIQUE($B$2:B7)"),6.0)</f>
        <v>6</v>
      </c>
    </row>
    <row r="8" ht="22.5" customHeight="1">
      <c r="A8" s="6" t="s">
        <v>43</v>
      </c>
      <c r="B8" s="6" t="s">
        <v>44</v>
      </c>
      <c r="C8" s="7" t="s">
        <v>45</v>
      </c>
      <c r="D8" s="8">
        <v>1.0</v>
      </c>
      <c r="E8" s="7" t="s">
        <v>14</v>
      </c>
      <c r="F8" s="9">
        <v>46044.0</v>
      </c>
      <c r="G8" s="11">
        <v>0.5</v>
      </c>
      <c r="H8" s="11">
        <f t="shared" si="1"/>
        <v>0.5104166667</v>
      </c>
      <c r="I8" s="7" t="s">
        <v>37</v>
      </c>
      <c r="J8" s="7" t="s">
        <v>17</v>
      </c>
      <c r="K8" s="7" t="s">
        <v>46</v>
      </c>
      <c r="L8" s="12">
        <f>IFERROR(__xludf.DUMMYFUNCTION("COUNTUNIQUE($B$2:B8)"),7.0)</f>
        <v>7</v>
      </c>
    </row>
    <row r="9" ht="22.5" customHeight="1">
      <c r="A9" s="6" t="s">
        <v>47</v>
      </c>
      <c r="B9" s="6" t="s">
        <v>48</v>
      </c>
      <c r="C9" s="7" t="s">
        <v>49</v>
      </c>
      <c r="D9" s="8">
        <v>1.0</v>
      </c>
      <c r="E9" s="7" t="s">
        <v>14</v>
      </c>
      <c r="F9" s="9">
        <v>46044.0</v>
      </c>
      <c r="G9" s="11">
        <v>0.5416666666666666</v>
      </c>
      <c r="H9" s="11">
        <f t="shared" si="1"/>
        <v>0.5520833333</v>
      </c>
      <c r="I9" s="7" t="s">
        <v>50</v>
      </c>
      <c r="J9" s="7" t="s">
        <v>17</v>
      </c>
      <c r="K9" s="7" t="s">
        <v>51</v>
      </c>
      <c r="L9" s="12">
        <f>IFERROR(__xludf.DUMMYFUNCTION("COUNTUNIQUE($B$2:B9)"),8.0)</f>
        <v>8</v>
      </c>
    </row>
    <row r="10" ht="22.5" customHeight="1">
      <c r="A10" s="6" t="s">
        <v>52</v>
      </c>
      <c r="B10" s="6" t="s">
        <v>53</v>
      </c>
      <c r="C10" s="7" t="s">
        <v>54</v>
      </c>
      <c r="D10" s="8">
        <v>1.0</v>
      </c>
      <c r="E10" s="7" t="s">
        <v>14</v>
      </c>
      <c r="F10" s="9">
        <v>46044.0</v>
      </c>
      <c r="G10" s="11">
        <v>0.5520833333333334</v>
      </c>
      <c r="H10" s="11">
        <f t="shared" si="1"/>
        <v>0.5625</v>
      </c>
      <c r="I10" s="7" t="s">
        <v>55</v>
      </c>
      <c r="J10" s="7" t="s">
        <v>17</v>
      </c>
      <c r="K10" s="7" t="s">
        <v>56</v>
      </c>
      <c r="L10" s="12">
        <f>IFERROR(__xludf.DUMMYFUNCTION("COUNTUNIQUE($B$2:B10)"),9.0)</f>
        <v>9</v>
      </c>
    </row>
    <row r="11" ht="22.5" customHeight="1">
      <c r="A11" s="6" t="s">
        <v>57</v>
      </c>
      <c r="B11" s="6" t="s">
        <v>58</v>
      </c>
      <c r="C11" s="7" t="s">
        <v>59</v>
      </c>
      <c r="D11" s="8">
        <v>1.0</v>
      </c>
      <c r="E11" s="7" t="s">
        <v>14</v>
      </c>
      <c r="F11" s="9">
        <v>46044.0</v>
      </c>
      <c r="G11" s="11">
        <v>0.5104166666666666</v>
      </c>
      <c r="H11" s="11">
        <f t="shared" si="1"/>
        <v>0.5208333333</v>
      </c>
      <c r="I11" s="7" t="s">
        <v>60</v>
      </c>
      <c r="J11" s="7" t="s">
        <v>17</v>
      </c>
      <c r="K11" s="7" t="s">
        <v>61</v>
      </c>
      <c r="L11" s="12">
        <f>IFERROR(__xludf.DUMMYFUNCTION("COUNTUNIQUE($B$2:B11)"),10.0)</f>
        <v>10</v>
      </c>
    </row>
    <row r="12" ht="22.5" customHeight="1">
      <c r="A12" s="6" t="s">
        <v>62</v>
      </c>
      <c r="B12" s="6" t="s">
        <v>63</v>
      </c>
      <c r="C12" s="7" t="s">
        <v>64</v>
      </c>
      <c r="D12" s="8">
        <v>1.0</v>
      </c>
      <c r="E12" s="7" t="s">
        <v>14</v>
      </c>
      <c r="F12" s="9">
        <v>46044.0</v>
      </c>
      <c r="G12" s="11">
        <v>0.5729166666666666</v>
      </c>
      <c r="H12" s="11">
        <f t="shared" si="1"/>
        <v>0.5833333333</v>
      </c>
      <c r="I12" s="7" t="s">
        <v>65</v>
      </c>
      <c r="J12" s="7" t="s">
        <v>17</v>
      </c>
      <c r="K12" s="7" t="s">
        <v>66</v>
      </c>
      <c r="L12" s="12">
        <f>IFERROR(__xludf.DUMMYFUNCTION("COUNTUNIQUE($B$2:B12)"),11.0)</f>
        <v>11</v>
      </c>
    </row>
    <row r="13" ht="22.5" customHeight="1">
      <c r="A13" s="6" t="s">
        <v>67</v>
      </c>
      <c r="B13" s="6" t="s">
        <v>68</v>
      </c>
      <c r="C13" s="7" t="s">
        <v>69</v>
      </c>
      <c r="D13" s="8">
        <v>1.0</v>
      </c>
      <c r="E13" s="7" t="s">
        <v>14</v>
      </c>
      <c r="F13" s="9">
        <v>46044.0</v>
      </c>
      <c r="G13" s="11">
        <v>0.5833333333333334</v>
      </c>
      <c r="H13" s="11">
        <f t="shared" si="1"/>
        <v>0.59375</v>
      </c>
      <c r="I13" s="7" t="s">
        <v>70</v>
      </c>
      <c r="J13" s="7" t="s">
        <v>17</v>
      </c>
      <c r="K13" s="7" t="s">
        <v>71</v>
      </c>
      <c r="L13" s="12">
        <f>IFERROR(__xludf.DUMMYFUNCTION("COUNTUNIQUE($B$2:B13)"),12.0)</f>
        <v>12</v>
      </c>
    </row>
    <row r="14" ht="22.5" customHeight="1">
      <c r="A14" s="6" t="s">
        <v>72</v>
      </c>
      <c r="B14" s="6" t="s">
        <v>73</v>
      </c>
      <c r="C14" s="7" t="s">
        <v>74</v>
      </c>
      <c r="D14" s="8">
        <v>2.0</v>
      </c>
      <c r="E14" s="7" t="s">
        <v>14</v>
      </c>
      <c r="F14" s="9">
        <v>46044.0</v>
      </c>
      <c r="G14" s="11">
        <v>0.4375</v>
      </c>
      <c r="H14" s="11">
        <f t="shared" si="1"/>
        <v>0.4479166667</v>
      </c>
      <c r="I14" s="7" t="s">
        <v>75</v>
      </c>
      <c r="J14" s="7" t="s">
        <v>17</v>
      </c>
      <c r="K14" s="7" t="s">
        <v>76</v>
      </c>
      <c r="L14" s="12">
        <f>IFERROR(__xludf.DUMMYFUNCTION("COUNTUNIQUE($B$2:B14)"),13.0)</f>
        <v>13</v>
      </c>
    </row>
    <row r="15" ht="22.5" customHeight="1">
      <c r="A15" s="6" t="s">
        <v>77</v>
      </c>
      <c r="B15" s="6" t="s">
        <v>78</v>
      </c>
      <c r="C15" s="7" t="s">
        <v>79</v>
      </c>
      <c r="D15" s="8">
        <v>2.0</v>
      </c>
      <c r="E15" s="7" t="s">
        <v>14</v>
      </c>
      <c r="F15" s="9">
        <v>46044.0</v>
      </c>
      <c r="G15" s="11">
        <v>0.4479166666666667</v>
      </c>
      <c r="H15" s="11">
        <f t="shared" si="1"/>
        <v>0.4583333333</v>
      </c>
      <c r="I15" s="7" t="s">
        <v>80</v>
      </c>
      <c r="J15" s="7" t="s">
        <v>17</v>
      </c>
      <c r="K15" s="7" t="s">
        <v>81</v>
      </c>
      <c r="L15" s="12">
        <f>IFERROR(__xludf.DUMMYFUNCTION("COUNTUNIQUE($B$2:B15)"),14.0)</f>
        <v>14</v>
      </c>
    </row>
    <row r="16" ht="22.5" customHeight="1">
      <c r="A16" s="6" t="s">
        <v>82</v>
      </c>
      <c r="B16" s="6" t="s">
        <v>83</v>
      </c>
      <c r="C16" s="7" t="s">
        <v>84</v>
      </c>
      <c r="D16" s="8">
        <v>2.0</v>
      </c>
      <c r="E16" s="7" t="s">
        <v>14</v>
      </c>
      <c r="F16" s="9">
        <v>46044.0</v>
      </c>
      <c r="G16" s="11">
        <v>0.4583333333333333</v>
      </c>
      <c r="H16" s="11">
        <f t="shared" si="1"/>
        <v>0.46875</v>
      </c>
      <c r="I16" s="7" t="s">
        <v>85</v>
      </c>
      <c r="J16" s="7" t="s">
        <v>17</v>
      </c>
      <c r="K16" s="7" t="s">
        <v>86</v>
      </c>
      <c r="L16" s="12">
        <f>IFERROR(__xludf.DUMMYFUNCTION("COUNTUNIQUE($B$2:B16)"),15.0)</f>
        <v>15</v>
      </c>
    </row>
    <row r="17" ht="22.5" customHeight="1">
      <c r="A17" s="6" t="s">
        <v>87</v>
      </c>
      <c r="B17" s="6" t="s">
        <v>88</v>
      </c>
      <c r="C17" s="7" t="s">
        <v>89</v>
      </c>
      <c r="D17" s="8">
        <v>2.0</v>
      </c>
      <c r="E17" s="7" t="s">
        <v>14</v>
      </c>
      <c r="F17" s="9">
        <v>46044.0</v>
      </c>
      <c r="G17" s="11">
        <v>0.46875</v>
      </c>
      <c r="H17" s="11">
        <f t="shared" si="1"/>
        <v>0.4791666667</v>
      </c>
      <c r="I17" s="7" t="s">
        <v>90</v>
      </c>
      <c r="J17" s="7" t="s">
        <v>17</v>
      </c>
      <c r="K17" s="7" t="s">
        <v>91</v>
      </c>
      <c r="L17" s="12">
        <f>IFERROR(__xludf.DUMMYFUNCTION("COUNTUNIQUE($B$2:B17)"),16.0)</f>
        <v>16</v>
      </c>
    </row>
    <row r="18" ht="22.5" customHeight="1">
      <c r="A18" s="6" t="s">
        <v>92</v>
      </c>
      <c r="B18" s="6" t="s">
        <v>93</v>
      </c>
      <c r="C18" s="7" t="s">
        <v>94</v>
      </c>
      <c r="D18" s="8">
        <v>2.0</v>
      </c>
      <c r="E18" s="7" t="s">
        <v>14</v>
      </c>
      <c r="F18" s="9">
        <v>46044.0</v>
      </c>
      <c r="G18" s="11">
        <v>0.4791666666666667</v>
      </c>
      <c r="H18" s="11">
        <f t="shared" si="1"/>
        <v>0.4895833333</v>
      </c>
      <c r="I18" s="7" t="s">
        <v>95</v>
      </c>
      <c r="J18" s="7" t="s">
        <v>17</v>
      </c>
      <c r="K18" s="7" t="s">
        <v>96</v>
      </c>
      <c r="L18" s="12">
        <f>IFERROR(__xludf.DUMMYFUNCTION("COUNTUNIQUE($B$2:B18)"),17.0)</f>
        <v>17</v>
      </c>
    </row>
    <row r="19" ht="22.5" customHeight="1">
      <c r="A19" s="6" t="s">
        <v>97</v>
      </c>
      <c r="B19" s="6" t="s">
        <v>98</v>
      </c>
      <c r="C19" s="7" t="s">
        <v>99</v>
      </c>
      <c r="D19" s="8">
        <v>2.0</v>
      </c>
      <c r="E19" s="7" t="s">
        <v>14</v>
      </c>
      <c r="F19" s="9">
        <v>46044.0</v>
      </c>
      <c r="G19" s="11">
        <v>0.4895833333333333</v>
      </c>
      <c r="H19" s="11">
        <f t="shared" si="1"/>
        <v>0.5</v>
      </c>
      <c r="I19" s="7" t="s">
        <v>100</v>
      </c>
      <c r="J19" s="7" t="s">
        <v>17</v>
      </c>
      <c r="K19" s="7" t="s">
        <v>101</v>
      </c>
      <c r="L19" s="12">
        <f>IFERROR(__xludf.DUMMYFUNCTION("COUNTUNIQUE($B$2:B19)"),18.0)</f>
        <v>18</v>
      </c>
    </row>
    <row r="20" ht="22.5" customHeight="1">
      <c r="A20" s="6" t="s">
        <v>102</v>
      </c>
      <c r="B20" s="6" t="s">
        <v>103</v>
      </c>
      <c r="C20" s="7" t="s">
        <v>104</v>
      </c>
      <c r="D20" s="8">
        <v>2.0</v>
      </c>
      <c r="E20" s="7" t="s">
        <v>14</v>
      </c>
      <c r="F20" s="9">
        <v>46044.0</v>
      </c>
      <c r="G20" s="11">
        <v>0.5</v>
      </c>
      <c r="H20" s="11">
        <f t="shared" si="1"/>
        <v>0.5104166667</v>
      </c>
      <c r="I20" s="7" t="s">
        <v>105</v>
      </c>
      <c r="J20" s="7" t="s">
        <v>17</v>
      </c>
      <c r="K20" s="7" t="s">
        <v>106</v>
      </c>
      <c r="L20" s="12">
        <f>IFERROR(__xludf.DUMMYFUNCTION("COUNTUNIQUE($B$2:B20)"),19.0)</f>
        <v>19</v>
      </c>
    </row>
    <row r="21" ht="22.5" customHeight="1">
      <c r="A21" s="6" t="s">
        <v>107</v>
      </c>
      <c r="B21" s="6" t="s">
        <v>108</v>
      </c>
      <c r="C21" s="7" t="s">
        <v>109</v>
      </c>
      <c r="D21" s="8">
        <v>2.0</v>
      </c>
      <c r="E21" s="7" t="s">
        <v>14</v>
      </c>
      <c r="F21" s="9">
        <v>46044.0</v>
      </c>
      <c r="G21" s="11">
        <v>0.5104166666666666</v>
      </c>
      <c r="H21" s="11">
        <f t="shared" si="1"/>
        <v>0.5208333333</v>
      </c>
      <c r="I21" s="7" t="s">
        <v>110</v>
      </c>
      <c r="J21" s="7" t="s">
        <v>17</v>
      </c>
      <c r="K21" s="7" t="s">
        <v>111</v>
      </c>
      <c r="L21" s="12">
        <f>IFERROR(__xludf.DUMMYFUNCTION("COUNTUNIQUE($B$2:B21)"),20.0)</f>
        <v>20</v>
      </c>
    </row>
    <row r="22" ht="22.5" customHeight="1">
      <c r="A22" s="6" t="s">
        <v>112</v>
      </c>
      <c r="B22" s="6" t="s">
        <v>113</v>
      </c>
      <c r="C22" s="7" t="s">
        <v>114</v>
      </c>
      <c r="D22" s="8">
        <v>2.0</v>
      </c>
      <c r="E22" s="7" t="s">
        <v>14</v>
      </c>
      <c r="F22" s="9">
        <v>46044.0</v>
      </c>
      <c r="G22" s="11">
        <v>0.5416666666666666</v>
      </c>
      <c r="H22" s="11">
        <f t="shared" si="1"/>
        <v>0.5520833333</v>
      </c>
      <c r="I22" s="7" t="s">
        <v>115</v>
      </c>
      <c r="J22" s="7" t="s">
        <v>17</v>
      </c>
      <c r="K22" s="7" t="s">
        <v>116</v>
      </c>
      <c r="L22" s="12">
        <f>IFERROR(__xludf.DUMMYFUNCTION("COUNTUNIQUE($B$2:B22)"),21.0)</f>
        <v>21</v>
      </c>
    </row>
    <row r="23" ht="22.5" customHeight="1">
      <c r="A23" s="6" t="s">
        <v>117</v>
      </c>
      <c r="B23" s="6" t="s">
        <v>118</v>
      </c>
      <c r="C23" s="7" t="s">
        <v>119</v>
      </c>
      <c r="D23" s="8">
        <v>2.0</v>
      </c>
      <c r="E23" s="7" t="s">
        <v>14</v>
      </c>
      <c r="F23" s="9">
        <v>46044.0</v>
      </c>
      <c r="G23" s="11">
        <v>0.5520833333333334</v>
      </c>
      <c r="H23" s="11">
        <f t="shared" si="1"/>
        <v>0.5625</v>
      </c>
      <c r="I23" s="7" t="s">
        <v>120</v>
      </c>
      <c r="J23" s="7" t="s">
        <v>17</v>
      </c>
      <c r="K23" s="7" t="s">
        <v>121</v>
      </c>
      <c r="L23" s="12">
        <f>IFERROR(__xludf.DUMMYFUNCTION("COUNTUNIQUE($B$2:B23)"),22.0)</f>
        <v>22</v>
      </c>
    </row>
    <row r="24" ht="22.5" customHeight="1">
      <c r="A24" s="6" t="s">
        <v>122</v>
      </c>
      <c r="B24" s="6" t="s">
        <v>123</v>
      </c>
      <c r="C24" s="7" t="s">
        <v>124</v>
      </c>
      <c r="D24" s="8">
        <v>2.0</v>
      </c>
      <c r="E24" s="7" t="s">
        <v>14</v>
      </c>
      <c r="F24" s="9">
        <v>46044.0</v>
      </c>
      <c r="G24" s="11">
        <v>0.5625</v>
      </c>
      <c r="H24" s="11">
        <f t="shared" si="1"/>
        <v>0.5729166667</v>
      </c>
      <c r="I24" s="7" t="s">
        <v>125</v>
      </c>
      <c r="J24" s="7" t="s">
        <v>17</v>
      </c>
      <c r="K24" s="7" t="s">
        <v>126</v>
      </c>
      <c r="L24" s="12">
        <f>IFERROR(__xludf.DUMMYFUNCTION("COUNTUNIQUE($B$2:B24)"),23.0)</f>
        <v>23</v>
      </c>
    </row>
    <row r="25" ht="22.5" customHeight="1">
      <c r="A25" s="6" t="s">
        <v>127</v>
      </c>
      <c r="B25" s="6" t="s">
        <v>128</v>
      </c>
      <c r="C25" s="7" t="s">
        <v>129</v>
      </c>
      <c r="D25" s="8">
        <v>2.0</v>
      </c>
      <c r="E25" s="7" t="s">
        <v>14</v>
      </c>
      <c r="F25" s="9">
        <v>46044.0</v>
      </c>
      <c r="G25" s="11">
        <v>0.5729166666666666</v>
      </c>
      <c r="H25" s="11">
        <f t="shared" si="1"/>
        <v>0.5833333333</v>
      </c>
      <c r="I25" s="7" t="s">
        <v>130</v>
      </c>
      <c r="J25" s="7" t="s">
        <v>17</v>
      </c>
      <c r="K25" s="7" t="s">
        <v>131</v>
      </c>
      <c r="L25" s="12">
        <f>IFERROR(__xludf.DUMMYFUNCTION("COUNTUNIQUE($B$2:B25)"),24.0)</f>
        <v>24</v>
      </c>
    </row>
    <row r="26" ht="22.5" customHeight="1">
      <c r="A26" s="6" t="s">
        <v>132</v>
      </c>
      <c r="B26" s="6" t="s">
        <v>133</v>
      </c>
      <c r="C26" s="7" t="s">
        <v>134</v>
      </c>
      <c r="D26" s="8">
        <v>2.0</v>
      </c>
      <c r="E26" s="7" t="s">
        <v>14</v>
      </c>
      <c r="F26" s="9">
        <v>46044.0</v>
      </c>
      <c r="G26" s="11">
        <v>0.5833333333333334</v>
      </c>
      <c r="H26" s="11">
        <f t="shared" si="1"/>
        <v>0.59375</v>
      </c>
      <c r="I26" s="7" t="s">
        <v>135</v>
      </c>
      <c r="J26" s="7" t="s">
        <v>17</v>
      </c>
      <c r="K26" s="7" t="s">
        <v>136</v>
      </c>
      <c r="L26" s="12">
        <f>IFERROR(__xludf.DUMMYFUNCTION("COUNTUNIQUE($B$2:B26)"),25.0)</f>
        <v>25</v>
      </c>
    </row>
    <row r="27" ht="22.5" customHeight="1">
      <c r="A27" s="6" t="s">
        <v>137</v>
      </c>
      <c r="B27" s="6" t="s">
        <v>138</v>
      </c>
      <c r="C27" s="7" t="s">
        <v>139</v>
      </c>
      <c r="D27" s="8">
        <v>2.0</v>
      </c>
      <c r="E27" s="7" t="s">
        <v>14</v>
      </c>
      <c r="F27" s="9">
        <v>46044.0</v>
      </c>
      <c r="G27" s="11">
        <v>0.59375</v>
      </c>
      <c r="H27" s="11">
        <f t="shared" si="1"/>
        <v>0.6041666667</v>
      </c>
      <c r="I27" s="7" t="s">
        <v>140</v>
      </c>
      <c r="J27" s="7" t="s">
        <v>17</v>
      </c>
      <c r="K27" s="7" t="s">
        <v>141</v>
      </c>
      <c r="L27" s="12">
        <f>IFERROR(__xludf.DUMMYFUNCTION("COUNTUNIQUE($B$2:B27)"),26.0)</f>
        <v>26</v>
      </c>
    </row>
    <row r="28" ht="22.5" customHeight="1">
      <c r="A28" s="6" t="s">
        <v>142</v>
      </c>
      <c r="B28" s="6" t="s">
        <v>143</v>
      </c>
      <c r="C28" s="7" t="s">
        <v>144</v>
      </c>
      <c r="D28" s="8">
        <v>2.0</v>
      </c>
      <c r="E28" s="7" t="s">
        <v>14</v>
      </c>
      <c r="F28" s="9">
        <v>46044.0</v>
      </c>
      <c r="G28" s="11">
        <v>0.6145833333333334</v>
      </c>
      <c r="H28" s="11">
        <f t="shared" si="1"/>
        <v>0.625</v>
      </c>
      <c r="I28" s="7" t="s">
        <v>145</v>
      </c>
      <c r="J28" s="7" t="s">
        <v>17</v>
      </c>
      <c r="K28" s="7" t="s">
        <v>146</v>
      </c>
      <c r="L28" s="12">
        <f>IFERROR(__xludf.DUMMYFUNCTION("COUNTUNIQUE($B$2:B28)"),27.0)</f>
        <v>27</v>
      </c>
    </row>
    <row r="29" ht="22.5" customHeight="1">
      <c r="A29" s="6" t="s">
        <v>147</v>
      </c>
      <c r="B29" s="6" t="s">
        <v>148</v>
      </c>
      <c r="C29" s="7" t="s">
        <v>149</v>
      </c>
      <c r="D29" s="8">
        <v>2.0</v>
      </c>
      <c r="E29" s="7" t="s">
        <v>14</v>
      </c>
      <c r="F29" s="9">
        <v>46044.0</v>
      </c>
      <c r="G29" s="11">
        <v>0.625</v>
      </c>
      <c r="H29" s="11">
        <f t="shared" si="1"/>
        <v>0.6354166667</v>
      </c>
      <c r="I29" s="7" t="s">
        <v>150</v>
      </c>
      <c r="J29" s="7" t="s">
        <v>17</v>
      </c>
      <c r="K29" s="7" t="s">
        <v>151</v>
      </c>
      <c r="L29" s="12">
        <f>IFERROR(__xludf.DUMMYFUNCTION("COUNTUNIQUE($B$2:B29)"),28.0)</f>
        <v>28</v>
      </c>
    </row>
    <row r="30" ht="22.5" customHeight="1">
      <c r="A30" s="6" t="s">
        <v>152</v>
      </c>
      <c r="B30" s="6" t="s">
        <v>153</v>
      </c>
      <c r="C30" s="7" t="s">
        <v>154</v>
      </c>
      <c r="D30" s="8">
        <v>2.0</v>
      </c>
      <c r="E30" s="7" t="s">
        <v>14</v>
      </c>
      <c r="F30" s="9">
        <v>46044.0</v>
      </c>
      <c r="G30" s="11">
        <v>0.6354166666666666</v>
      </c>
      <c r="H30" s="11">
        <f t="shared" si="1"/>
        <v>0.6458333333</v>
      </c>
      <c r="I30" s="7" t="s">
        <v>155</v>
      </c>
      <c r="J30" s="7" t="s">
        <v>17</v>
      </c>
      <c r="K30" s="7" t="s">
        <v>156</v>
      </c>
      <c r="L30" s="12">
        <f>IFERROR(__xludf.DUMMYFUNCTION("COUNTUNIQUE($B$2:B30)"),29.0)</f>
        <v>29</v>
      </c>
    </row>
    <row r="31" ht="22.5" customHeight="1">
      <c r="A31" s="6" t="s">
        <v>157</v>
      </c>
      <c r="B31" s="6" t="s">
        <v>158</v>
      </c>
      <c r="C31" s="7" t="s">
        <v>159</v>
      </c>
      <c r="D31" s="8">
        <v>2.0</v>
      </c>
      <c r="E31" s="7" t="s">
        <v>14</v>
      </c>
      <c r="F31" s="9">
        <v>46044.0</v>
      </c>
      <c r="G31" s="11">
        <v>0.6458333333333334</v>
      </c>
      <c r="H31" s="11">
        <f t="shared" si="1"/>
        <v>0.65625</v>
      </c>
      <c r="I31" s="7" t="s">
        <v>160</v>
      </c>
      <c r="J31" s="7" t="s">
        <v>17</v>
      </c>
      <c r="K31" s="7" t="s">
        <v>161</v>
      </c>
      <c r="L31" s="12">
        <f>IFERROR(__xludf.DUMMYFUNCTION("COUNTUNIQUE($B$2:B31)"),30.0)</f>
        <v>30</v>
      </c>
    </row>
    <row r="32" ht="22.5" customHeight="1">
      <c r="A32" s="6" t="s">
        <v>162</v>
      </c>
      <c r="B32" s="6" t="s">
        <v>163</v>
      </c>
      <c r="C32" s="7" t="s">
        <v>164</v>
      </c>
      <c r="D32" s="8">
        <v>2.0</v>
      </c>
      <c r="E32" s="7" t="s">
        <v>14</v>
      </c>
      <c r="F32" s="9">
        <v>46044.0</v>
      </c>
      <c r="G32" s="11">
        <v>0.6666666666666666</v>
      </c>
      <c r="H32" s="11">
        <f t="shared" si="1"/>
        <v>0.6770833333</v>
      </c>
      <c r="I32" s="7" t="s">
        <v>37</v>
      </c>
      <c r="J32" s="7" t="s">
        <v>17</v>
      </c>
      <c r="K32" s="7" t="s">
        <v>165</v>
      </c>
      <c r="L32" s="12">
        <f>IFERROR(__xludf.DUMMYFUNCTION("COUNTUNIQUE($B$2:B32)"),31.0)</f>
        <v>31</v>
      </c>
    </row>
    <row r="33" ht="22.5" customHeight="1">
      <c r="A33" s="6" t="s">
        <v>166</v>
      </c>
      <c r="B33" s="6" t="s">
        <v>167</v>
      </c>
      <c r="C33" s="7" t="s">
        <v>168</v>
      </c>
      <c r="D33" s="8">
        <v>2.0</v>
      </c>
      <c r="E33" s="7" t="s">
        <v>14</v>
      </c>
      <c r="F33" s="9">
        <v>46044.0</v>
      </c>
      <c r="G33" s="11">
        <v>0.6770833333333334</v>
      </c>
      <c r="H33" s="11">
        <f t="shared" si="1"/>
        <v>0.6875</v>
      </c>
      <c r="I33" s="7" t="s">
        <v>120</v>
      </c>
      <c r="J33" s="7" t="s">
        <v>17</v>
      </c>
      <c r="K33" s="7" t="s">
        <v>169</v>
      </c>
      <c r="L33" s="12">
        <f>IFERROR(__xludf.DUMMYFUNCTION("COUNTUNIQUE($B$2:B33)"),32.0)</f>
        <v>32</v>
      </c>
    </row>
    <row r="34" ht="22.5" customHeight="1">
      <c r="A34" s="6" t="s">
        <v>170</v>
      </c>
      <c r="B34" s="6" t="s">
        <v>171</v>
      </c>
      <c r="C34" s="7" t="s">
        <v>172</v>
      </c>
      <c r="D34" s="8">
        <v>2.0</v>
      </c>
      <c r="E34" s="7" t="s">
        <v>14</v>
      </c>
      <c r="F34" s="9">
        <v>46044.0</v>
      </c>
      <c r="G34" s="11">
        <v>0.6875</v>
      </c>
      <c r="H34" s="11">
        <f t="shared" si="1"/>
        <v>0.6979166667</v>
      </c>
      <c r="I34" s="7" t="s">
        <v>173</v>
      </c>
      <c r="J34" s="7" t="s">
        <v>17</v>
      </c>
      <c r="K34" s="7" t="s">
        <v>174</v>
      </c>
      <c r="L34" s="12">
        <f>IFERROR(__xludf.DUMMYFUNCTION("COUNTUNIQUE($B$2:B34)"),33.0)</f>
        <v>33</v>
      </c>
    </row>
    <row r="35" ht="22.5" customHeight="1">
      <c r="A35" s="6" t="s">
        <v>175</v>
      </c>
      <c r="B35" s="6" t="s">
        <v>176</v>
      </c>
      <c r="C35" s="7" t="s">
        <v>177</v>
      </c>
      <c r="D35" s="8">
        <v>2.0</v>
      </c>
      <c r="E35" s="7" t="s">
        <v>14</v>
      </c>
      <c r="F35" s="9">
        <v>46044.0</v>
      </c>
      <c r="G35" s="11">
        <v>0.6979166666666666</v>
      </c>
      <c r="H35" s="11">
        <f t="shared" si="1"/>
        <v>0.7083333333</v>
      </c>
      <c r="I35" s="7" t="s">
        <v>178</v>
      </c>
      <c r="J35" s="7" t="s">
        <v>17</v>
      </c>
      <c r="K35" s="7" t="s">
        <v>179</v>
      </c>
      <c r="L35" s="12">
        <f>IFERROR(__xludf.DUMMYFUNCTION("COUNTUNIQUE($B$2:B35)"),34.0)</f>
        <v>34</v>
      </c>
    </row>
    <row r="36" ht="22.5" customHeight="1">
      <c r="A36" s="6" t="s">
        <v>180</v>
      </c>
      <c r="B36" s="6" t="s">
        <v>181</v>
      </c>
      <c r="C36" s="7" t="s">
        <v>182</v>
      </c>
      <c r="D36" s="8">
        <v>2.0</v>
      </c>
      <c r="E36" s="7" t="s">
        <v>14</v>
      </c>
      <c r="F36" s="9">
        <v>46044.0</v>
      </c>
      <c r="G36" s="11">
        <v>0.7083333333333334</v>
      </c>
      <c r="H36" s="11">
        <f t="shared" si="1"/>
        <v>0.71875</v>
      </c>
      <c r="I36" s="7" t="s">
        <v>183</v>
      </c>
      <c r="J36" s="7" t="s">
        <v>17</v>
      </c>
      <c r="K36" s="7" t="s">
        <v>184</v>
      </c>
      <c r="L36" s="12">
        <f>IFERROR(__xludf.DUMMYFUNCTION("COUNTUNIQUE($B$2:B36)"),35.0)</f>
        <v>35</v>
      </c>
    </row>
    <row r="37" ht="22.5" customHeight="1">
      <c r="A37" s="6" t="s">
        <v>185</v>
      </c>
      <c r="B37" s="6" t="s">
        <v>186</v>
      </c>
      <c r="C37" s="7" t="s">
        <v>187</v>
      </c>
      <c r="D37" s="8">
        <v>2.0</v>
      </c>
      <c r="E37" s="7" t="s">
        <v>14</v>
      </c>
      <c r="F37" s="9">
        <v>46044.0</v>
      </c>
      <c r="G37" s="11">
        <v>0.71875</v>
      </c>
      <c r="H37" s="11">
        <f t="shared" si="1"/>
        <v>0.7291666667</v>
      </c>
      <c r="I37" s="7" t="s">
        <v>188</v>
      </c>
      <c r="J37" s="7" t="s">
        <v>17</v>
      </c>
      <c r="K37" s="7" t="s">
        <v>189</v>
      </c>
      <c r="L37" s="12">
        <f>IFERROR(__xludf.DUMMYFUNCTION("COUNTUNIQUE($B$2:B37)"),36.0)</f>
        <v>36</v>
      </c>
    </row>
    <row r="38" ht="22.5" customHeight="1">
      <c r="A38" s="6" t="s">
        <v>190</v>
      </c>
      <c r="B38" s="6" t="s">
        <v>191</v>
      </c>
      <c r="C38" s="7" t="s">
        <v>192</v>
      </c>
      <c r="D38" s="8">
        <v>3.0</v>
      </c>
      <c r="E38" s="7" t="s">
        <v>14</v>
      </c>
      <c r="F38" s="9">
        <v>46044.0</v>
      </c>
      <c r="G38" s="11">
        <v>0.4375</v>
      </c>
      <c r="H38" s="11">
        <f t="shared" si="1"/>
        <v>0.4479166667</v>
      </c>
      <c r="I38" s="7" t="s">
        <v>193</v>
      </c>
      <c r="J38" s="7" t="s">
        <v>17</v>
      </c>
      <c r="K38" s="7" t="s">
        <v>194</v>
      </c>
      <c r="L38" s="12">
        <f>IFERROR(__xludf.DUMMYFUNCTION("COUNTUNIQUE($B$2:B38)"),37.0)</f>
        <v>37</v>
      </c>
    </row>
    <row r="39" ht="22.5" customHeight="1">
      <c r="A39" s="6" t="s">
        <v>195</v>
      </c>
      <c r="B39" s="6" t="s">
        <v>196</v>
      </c>
      <c r="C39" s="7" t="s">
        <v>197</v>
      </c>
      <c r="D39" s="8">
        <v>3.0</v>
      </c>
      <c r="E39" s="7" t="s">
        <v>14</v>
      </c>
      <c r="F39" s="9">
        <v>46044.0</v>
      </c>
      <c r="G39" s="11">
        <v>0.4479166666666667</v>
      </c>
      <c r="H39" s="11">
        <f t="shared" si="1"/>
        <v>0.4583333333</v>
      </c>
      <c r="I39" s="7" t="s">
        <v>198</v>
      </c>
      <c r="J39" s="7" t="s">
        <v>17</v>
      </c>
      <c r="K39" s="7" t="s">
        <v>199</v>
      </c>
      <c r="L39" s="12">
        <f>IFERROR(__xludf.DUMMYFUNCTION("COUNTUNIQUE($B$2:B39)"),38.0)</f>
        <v>38</v>
      </c>
    </row>
    <row r="40" ht="22.5" customHeight="1">
      <c r="A40" s="6" t="s">
        <v>200</v>
      </c>
      <c r="B40" s="6" t="s">
        <v>201</v>
      </c>
      <c r="C40" s="7" t="s">
        <v>202</v>
      </c>
      <c r="D40" s="8">
        <v>3.0</v>
      </c>
      <c r="E40" s="7" t="s">
        <v>14</v>
      </c>
      <c r="F40" s="9">
        <v>46044.0</v>
      </c>
      <c r="G40" s="11">
        <v>0.4583333333333333</v>
      </c>
      <c r="H40" s="11">
        <f t="shared" si="1"/>
        <v>0.46875</v>
      </c>
      <c r="I40" s="7" t="s">
        <v>110</v>
      </c>
      <c r="J40" s="7" t="s">
        <v>17</v>
      </c>
      <c r="K40" s="7" t="s">
        <v>203</v>
      </c>
      <c r="L40" s="12">
        <f>IFERROR(__xludf.DUMMYFUNCTION("COUNTUNIQUE($B$2:B40)"),39.0)</f>
        <v>39</v>
      </c>
    </row>
    <row r="41" ht="22.5" customHeight="1">
      <c r="A41" s="6" t="s">
        <v>204</v>
      </c>
      <c r="B41" s="6" t="s">
        <v>205</v>
      </c>
      <c r="C41" s="7" t="s">
        <v>206</v>
      </c>
      <c r="D41" s="8">
        <v>3.0</v>
      </c>
      <c r="E41" s="7" t="s">
        <v>14</v>
      </c>
      <c r="F41" s="9">
        <v>46044.0</v>
      </c>
      <c r="G41" s="11">
        <v>0.46875</v>
      </c>
      <c r="H41" s="11">
        <f t="shared" si="1"/>
        <v>0.4791666667</v>
      </c>
      <c r="I41" s="7" t="s">
        <v>207</v>
      </c>
      <c r="J41" s="7" t="s">
        <v>17</v>
      </c>
      <c r="K41" s="7" t="s">
        <v>208</v>
      </c>
      <c r="L41" s="12">
        <f>IFERROR(__xludf.DUMMYFUNCTION("COUNTUNIQUE($B$2:B41)"),40.0)</f>
        <v>40</v>
      </c>
    </row>
    <row r="42" ht="22.5" customHeight="1">
      <c r="A42" s="6" t="s">
        <v>209</v>
      </c>
      <c r="B42" s="6" t="s">
        <v>210</v>
      </c>
      <c r="C42" s="7" t="s">
        <v>211</v>
      </c>
      <c r="D42" s="8">
        <v>3.0</v>
      </c>
      <c r="E42" s="7" t="s">
        <v>14</v>
      </c>
      <c r="F42" s="9">
        <v>46044.0</v>
      </c>
      <c r="G42" s="11">
        <v>0.4791666666666667</v>
      </c>
      <c r="H42" s="11">
        <f t="shared" si="1"/>
        <v>0.4895833333</v>
      </c>
      <c r="I42" s="7" t="s">
        <v>110</v>
      </c>
      <c r="J42" s="7" t="s">
        <v>17</v>
      </c>
      <c r="K42" s="7" t="s">
        <v>212</v>
      </c>
      <c r="L42" s="12">
        <f>IFERROR(__xludf.DUMMYFUNCTION("COUNTUNIQUE($B$2:B42)"),41.0)</f>
        <v>41</v>
      </c>
    </row>
    <row r="43" ht="22.5" customHeight="1">
      <c r="A43" s="6" t="s">
        <v>213</v>
      </c>
      <c r="B43" s="6" t="s">
        <v>214</v>
      </c>
      <c r="C43" s="7" t="s">
        <v>215</v>
      </c>
      <c r="D43" s="8">
        <v>8.0</v>
      </c>
      <c r="E43" s="7" t="s">
        <v>14</v>
      </c>
      <c r="F43" s="9">
        <v>46044.0</v>
      </c>
      <c r="G43" s="11">
        <v>0.5763888888888888</v>
      </c>
      <c r="H43" s="11">
        <f t="shared" si="1"/>
        <v>0.5868055556</v>
      </c>
      <c r="I43" s="7" t="s">
        <v>216</v>
      </c>
      <c r="J43" s="7" t="s">
        <v>17</v>
      </c>
      <c r="K43" s="7" t="s">
        <v>217</v>
      </c>
      <c r="L43" s="12">
        <f>IFERROR(__xludf.DUMMYFUNCTION("COUNTUNIQUE($B$2:B43)"),42.0)</f>
        <v>42</v>
      </c>
    </row>
    <row r="44" ht="22.5" customHeight="1">
      <c r="A44" s="6" t="s">
        <v>218</v>
      </c>
      <c r="B44" s="6" t="s">
        <v>219</v>
      </c>
      <c r="C44" s="7" t="s">
        <v>220</v>
      </c>
      <c r="D44" s="8">
        <v>3.0</v>
      </c>
      <c r="E44" s="7" t="s">
        <v>14</v>
      </c>
      <c r="F44" s="9">
        <v>46044.0</v>
      </c>
      <c r="G44" s="11">
        <v>0.5</v>
      </c>
      <c r="H44" s="11">
        <f t="shared" si="1"/>
        <v>0.5104166667</v>
      </c>
      <c r="I44" s="7" t="s">
        <v>221</v>
      </c>
      <c r="J44" s="7" t="s">
        <v>17</v>
      </c>
      <c r="K44" s="7" t="s">
        <v>222</v>
      </c>
      <c r="L44" s="12">
        <f>IFERROR(__xludf.DUMMYFUNCTION("COUNTUNIQUE($B$2:B44)"),43.0)</f>
        <v>43</v>
      </c>
    </row>
    <row r="45" ht="22.5" customHeight="1">
      <c r="A45" s="6" t="s">
        <v>223</v>
      </c>
      <c r="B45" s="6" t="s">
        <v>224</v>
      </c>
      <c r="C45" s="7" t="s">
        <v>225</v>
      </c>
      <c r="D45" s="8">
        <v>3.0</v>
      </c>
      <c r="E45" s="7" t="s">
        <v>14</v>
      </c>
      <c r="F45" s="9">
        <v>46044.0</v>
      </c>
      <c r="G45" s="11">
        <v>0.5104166666666666</v>
      </c>
      <c r="H45" s="11">
        <f t="shared" si="1"/>
        <v>0.5208333333</v>
      </c>
      <c r="I45" s="7" t="s">
        <v>226</v>
      </c>
      <c r="J45" s="7" t="s">
        <v>17</v>
      </c>
      <c r="K45" s="7" t="s">
        <v>227</v>
      </c>
      <c r="L45" s="12">
        <f>IFERROR(__xludf.DUMMYFUNCTION("COUNTUNIQUE($B$2:B45)"),44.0)</f>
        <v>44</v>
      </c>
    </row>
    <row r="46" ht="22.5" customHeight="1">
      <c r="A46" s="6" t="s">
        <v>228</v>
      </c>
      <c r="B46" s="6" t="s">
        <v>229</v>
      </c>
      <c r="C46" s="7" t="s">
        <v>230</v>
      </c>
      <c r="D46" s="8">
        <v>3.0</v>
      </c>
      <c r="E46" s="7" t="s">
        <v>14</v>
      </c>
      <c r="F46" s="9">
        <v>46044.0</v>
      </c>
      <c r="G46" s="11">
        <v>0.5416666666666666</v>
      </c>
      <c r="H46" s="11">
        <f t="shared" si="1"/>
        <v>0.5520833333</v>
      </c>
      <c r="I46" s="7" t="s">
        <v>231</v>
      </c>
      <c r="J46" s="7" t="s">
        <v>17</v>
      </c>
      <c r="K46" s="7" t="s">
        <v>232</v>
      </c>
      <c r="L46" s="12">
        <f>IFERROR(__xludf.DUMMYFUNCTION("COUNTUNIQUE($B$2:B46)"),45.0)</f>
        <v>45</v>
      </c>
    </row>
    <row r="47" ht="22.5" customHeight="1">
      <c r="A47" s="6" t="s">
        <v>233</v>
      </c>
      <c r="B47" s="6" t="s">
        <v>234</v>
      </c>
      <c r="C47" s="7" t="s">
        <v>235</v>
      </c>
      <c r="D47" s="8">
        <v>3.0</v>
      </c>
      <c r="E47" s="7" t="s">
        <v>14</v>
      </c>
      <c r="F47" s="9">
        <v>46044.0</v>
      </c>
      <c r="G47" s="11">
        <v>0.5520833333333334</v>
      </c>
      <c r="H47" s="11">
        <f t="shared" si="1"/>
        <v>0.5625</v>
      </c>
      <c r="I47" s="7" t="s">
        <v>236</v>
      </c>
      <c r="J47" s="7" t="s">
        <v>17</v>
      </c>
      <c r="K47" s="7" t="s">
        <v>237</v>
      </c>
      <c r="L47" s="12">
        <f>IFERROR(__xludf.DUMMYFUNCTION("COUNTUNIQUE($B$2:B47)"),46.0)</f>
        <v>46</v>
      </c>
    </row>
    <row r="48" ht="22.5" customHeight="1">
      <c r="A48" s="6" t="s">
        <v>238</v>
      </c>
      <c r="B48" s="6" t="s">
        <v>239</v>
      </c>
      <c r="C48" s="7" t="s">
        <v>240</v>
      </c>
      <c r="D48" s="8">
        <v>3.0</v>
      </c>
      <c r="E48" s="7" t="s">
        <v>14</v>
      </c>
      <c r="F48" s="9">
        <v>46044.0</v>
      </c>
      <c r="G48" s="11">
        <v>0.5625</v>
      </c>
      <c r="H48" s="11">
        <f t="shared" si="1"/>
        <v>0.5729166667</v>
      </c>
      <c r="I48" s="7" t="s">
        <v>241</v>
      </c>
      <c r="J48" s="7" t="s">
        <v>17</v>
      </c>
      <c r="K48" s="7" t="s">
        <v>242</v>
      </c>
      <c r="L48" s="12">
        <f>IFERROR(__xludf.DUMMYFUNCTION("COUNTUNIQUE($B$2:B48)"),47.0)</f>
        <v>47</v>
      </c>
    </row>
    <row r="49" ht="22.5" customHeight="1">
      <c r="A49" s="6" t="s">
        <v>243</v>
      </c>
      <c r="B49" s="6" t="s">
        <v>244</v>
      </c>
      <c r="C49" s="7" t="s">
        <v>245</v>
      </c>
      <c r="D49" s="8">
        <v>3.0</v>
      </c>
      <c r="E49" s="7" t="s">
        <v>14</v>
      </c>
      <c r="F49" s="9">
        <v>46044.0</v>
      </c>
      <c r="G49" s="11">
        <v>0.5729166666666666</v>
      </c>
      <c r="H49" s="11">
        <f t="shared" si="1"/>
        <v>0.5833333333</v>
      </c>
      <c r="I49" s="7" t="s">
        <v>246</v>
      </c>
      <c r="J49" s="7" t="s">
        <v>17</v>
      </c>
      <c r="K49" s="7" t="s">
        <v>247</v>
      </c>
      <c r="L49" s="12">
        <f>IFERROR(__xludf.DUMMYFUNCTION("COUNTUNIQUE($B$2:B49)"),48.0)</f>
        <v>48</v>
      </c>
    </row>
    <row r="50" ht="22.5" customHeight="1">
      <c r="A50" s="6" t="s">
        <v>248</v>
      </c>
      <c r="B50" s="6" t="s">
        <v>249</v>
      </c>
      <c r="C50" s="7" t="s">
        <v>250</v>
      </c>
      <c r="D50" s="8">
        <v>3.0</v>
      </c>
      <c r="E50" s="7" t="s">
        <v>14</v>
      </c>
      <c r="F50" s="9">
        <v>46044.0</v>
      </c>
      <c r="G50" s="11">
        <v>0.5833333333333334</v>
      </c>
      <c r="H50" s="11">
        <f t="shared" si="1"/>
        <v>0.59375</v>
      </c>
      <c r="I50" s="7" t="s">
        <v>251</v>
      </c>
      <c r="J50" s="7" t="s">
        <v>17</v>
      </c>
      <c r="K50" s="7" t="s">
        <v>252</v>
      </c>
      <c r="L50" s="12">
        <f>IFERROR(__xludf.DUMMYFUNCTION("COUNTUNIQUE($B$2:B50)"),49.0)</f>
        <v>49</v>
      </c>
    </row>
    <row r="51" ht="22.5" customHeight="1">
      <c r="A51" s="6" t="s">
        <v>253</v>
      </c>
      <c r="B51" s="6" t="s">
        <v>254</v>
      </c>
      <c r="C51" s="7" t="s">
        <v>255</v>
      </c>
      <c r="D51" s="8">
        <v>3.0</v>
      </c>
      <c r="E51" s="7" t="s">
        <v>14</v>
      </c>
      <c r="F51" s="9">
        <v>46044.0</v>
      </c>
      <c r="G51" s="11">
        <v>0.59375</v>
      </c>
      <c r="H51" s="11">
        <f t="shared" si="1"/>
        <v>0.6041666667</v>
      </c>
      <c r="I51" s="7" t="s">
        <v>256</v>
      </c>
      <c r="J51" s="7" t="s">
        <v>17</v>
      </c>
      <c r="K51" s="7" t="s">
        <v>257</v>
      </c>
      <c r="L51" s="12">
        <f>IFERROR(__xludf.DUMMYFUNCTION("COUNTUNIQUE($B$2:B51)"),50.0)</f>
        <v>50</v>
      </c>
    </row>
    <row r="52" ht="22.5" customHeight="1">
      <c r="A52" s="6" t="s">
        <v>258</v>
      </c>
      <c r="B52" s="6" t="s">
        <v>259</v>
      </c>
      <c r="C52" s="7" t="s">
        <v>260</v>
      </c>
      <c r="D52" s="8">
        <v>3.0</v>
      </c>
      <c r="E52" s="7" t="s">
        <v>14</v>
      </c>
      <c r="F52" s="9">
        <v>46044.0</v>
      </c>
      <c r="G52" s="11">
        <v>0.6041666666666666</v>
      </c>
      <c r="H52" s="11">
        <f t="shared" si="1"/>
        <v>0.6145833333</v>
      </c>
      <c r="I52" s="7" t="s">
        <v>261</v>
      </c>
      <c r="J52" s="7" t="s">
        <v>17</v>
      </c>
      <c r="K52" s="7" t="s">
        <v>184</v>
      </c>
      <c r="L52" s="12">
        <f>IFERROR(__xludf.DUMMYFUNCTION("COUNTUNIQUE($B$2:B52)"),51.0)</f>
        <v>51</v>
      </c>
    </row>
    <row r="53" ht="22.5" customHeight="1">
      <c r="A53" s="6" t="s">
        <v>262</v>
      </c>
      <c r="B53" s="6" t="s">
        <v>263</v>
      </c>
      <c r="C53" s="7" t="s">
        <v>264</v>
      </c>
      <c r="D53" s="8">
        <v>3.0</v>
      </c>
      <c r="E53" s="7" t="s">
        <v>14</v>
      </c>
      <c r="F53" s="9">
        <v>46044.0</v>
      </c>
      <c r="G53" s="11">
        <v>0.6145833333333334</v>
      </c>
      <c r="H53" s="11">
        <f t="shared" si="1"/>
        <v>0.625</v>
      </c>
      <c r="I53" s="7" t="s">
        <v>265</v>
      </c>
      <c r="J53" s="7" t="s">
        <v>17</v>
      </c>
      <c r="K53" s="7" t="s">
        <v>266</v>
      </c>
      <c r="L53" s="12">
        <f>IFERROR(__xludf.DUMMYFUNCTION("COUNTUNIQUE($B$2:B53)"),52.0)</f>
        <v>52</v>
      </c>
    </row>
    <row r="54" ht="22.5" customHeight="1">
      <c r="A54" s="6" t="s">
        <v>267</v>
      </c>
      <c r="B54" s="6" t="s">
        <v>268</v>
      </c>
      <c r="C54" s="7" t="s">
        <v>269</v>
      </c>
      <c r="D54" s="8">
        <v>3.0</v>
      </c>
      <c r="E54" s="7" t="s">
        <v>14</v>
      </c>
      <c r="F54" s="9">
        <v>46044.0</v>
      </c>
      <c r="G54" s="11">
        <v>0.625</v>
      </c>
      <c r="H54" s="11">
        <f t="shared" si="1"/>
        <v>0.6354166667</v>
      </c>
      <c r="I54" s="7" t="s">
        <v>270</v>
      </c>
      <c r="J54" s="7" t="s">
        <v>17</v>
      </c>
      <c r="K54" s="7" t="s">
        <v>271</v>
      </c>
      <c r="L54" s="12">
        <f>IFERROR(__xludf.DUMMYFUNCTION("COUNTUNIQUE($B$2:B54)"),53.0)</f>
        <v>53</v>
      </c>
    </row>
    <row r="55" ht="22.5" customHeight="1">
      <c r="A55" s="6" t="s">
        <v>272</v>
      </c>
      <c r="B55" s="6" t="s">
        <v>273</v>
      </c>
      <c r="C55" s="7" t="s">
        <v>274</v>
      </c>
      <c r="D55" s="8">
        <v>4.0</v>
      </c>
      <c r="E55" s="7" t="s">
        <v>14</v>
      </c>
      <c r="F55" s="9">
        <v>46044.0</v>
      </c>
      <c r="G55" s="11">
        <v>0.6354166666666666</v>
      </c>
      <c r="H55" s="11">
        <f t="shared" si="1"/>
        <v>0.6458333333</v>
      </c>
      <c r="I55" s="7" t="s">
        <v>275</v>
      </c>
      <c r="J55" s="7" t="s">
        <v>17</v>
      </c>
      <c r="K55" s="7" t="s">
        <v>276</v>
      </c>
      <c r="L55" s="12">
        <f>IFERROR(__xludf.DUMMYFUNCTION("COUNTUNIQUE($B$2:B55)"),54.0)</f>
        <v>54</v>
      </c>
    </row>
    <row r="56" ht="22.5" customHeight="1">
      <c r="A56" s="6" t="s">
        <v>277</v>
      </c>
      <c r="B56" s="6" t="s">
        <v>278</v>
      </c>
      <c r="C56" s="7" t="s">
        <v>279</v>
      </c>
      <c r="D56" s="8">
        <v>4.0</v>
      </c>
      <c r="E56" s="7" t="s">
        <v>14</v>
      </c>
      <c r="F56" s="9">
        <v>46044.0</v>
      </c>
      <c r="G56" s="11">
        <v>0.6458333333333334</v>
      </c>
      <c r="H56" s="11">
        <f t="shared" si="1"/>
        <v>0.65625</v>
      </c>
      <c r="I56" s="7" t="s">
        <v>280</v>
      </c>
      <c r="J56" s="7" t="s">
        <v>17</v>
      </c>
      <c r="K56" s="7" t="s">
        <v>281</v>
      </c>
      <c r="L56" s="12">
        <f>IFERROR(__xludf.DUMMYFUNCTION("COUNTUNIQUE($B$2:B56)"),55.0)</f>
        <v>55</v>
      </c>
    </row>
    <row r="57" ht="22.5" customHeight="1">
      <c r="A57" s="6" t="s">
        <v>282</v>
      </c>
      <c r="B57" s="6" t="s">
        <v>283</v>
      </c>
      <c r="C57" s="7" t="s">
        <v>284</v>
      </c>
      <c r="D57" s="8">
        <v>3.0</v>
      </c>
      <c r="E57" s="7" t="s">
        <v>14</v>
      </c>
      <c r="F57" s="9">
        <v>46044.0</v>
      </c>
      <c r="G57" s="11">
        <v>0.6666666666666666</v>
      </c>
      <c r="H57" s="11">
        <f t="shared" si="1"/>
        <v>0.6770833333</v>
      </c>
      <c r="I57" s="7" t="s">
        <v>285</v>
      </c>
      <c r="J57" s="7" t="s">
        <v>17</v>
      </c>
      <c r="K57" s="7" t="s">
        <v>286</v>
      </c>
      <c r="L57" s="12">
        <f>IFERROR(__xludf.DUMMYFUNCTION("COUNTUNIQUE($B$2:B57)"),56.0)</f>
        <v>56</v>
      </c>
    </row>
    <row r="58" ht="22.5" customHeight="1">
      <c r="A58" s="6" t="s">
        <v>287</v>
      </c>
      <c r="B58" s="6" t="s">
        <v>288</v>
      </c>
      <c r="C58" s="7" t="s">
        <v>289</v>
      </c>
      <c r="D58" s="8">
        <v>3.0</v>
      </c>
      <c r="E58" s="7" t="s">
        <v>14</v>
      </c>
      <c r="F58" s="9">
        <v>46044.0</v>
      </c>
      <c r="G58" s="11">
        <v>0.6770833333333334</v>
      </c>
      <c r="H58" s="11">
        <f t="shared" si="1"/>
        <v>0.6875</v>
      </c>
      <c r="I58" s="7" t="s">
        <v>290</v>
      </c>
      <c r="J58" s="7" t="s">
        <v>17</v>
      </c>
      <c r="K58" s="7" t="s">
        <v>291</v>
      </c>
      <c r="L58" s="12">
        <f>IFERROR(__xludf.DUMMYFUNCTION("COUNTUNIQUE($B$2:B58)"),57.0)</f>
        <v>57</v>
      </c>
    </row>
    <row r="59" ht="22.5" customHeight="1">
      <c r="A59" s="6" t="s">
        <v>292</v>
      </c>
      <c r="B59" s="6" t="s">
        <v>293</v>
      </c>
      <c r="C59" s="7" t="s">
        <v>294</v>
      </c>
      <c r="D59" s="8">
        <v>3.0</v>
      </c>
      <c r="E59" s="7" t="s">
        <v>14</v>
      </c>
      <c r="F59" s="9">
        <v>46044.0</v>
      </c>
      <c r="G59" s="11">
        <v>0.6875</v>
      </c>
      <c r="H59" s="11">
        <f t="shared" si="1"/>
        <v>0.6979166667</v>
      </c>
      <c r="I59" s="7" t="s">
        <v>295</v>
      </c>
      <c r="J59" s="7" t="s">
        <v>17</v>
      </c>
      <c r="K59" s="7" t="s">
        <v>296</v>
      </c>
      <c r="L59" s="12">
        <f>IFERROR(__xludf.DUMMYFUNCTION("COUNTUNIQUE($B$2:B59)"),58.0)</f>
        <v>58</v>
      </c>
    </row>
    <row r="60" ht="22.5" customHeight="1">
      <c r="A60" s="6" t="s">
        <v>297</v>
      </c>
      <c r="B60" s="6" t="s">
        <v>298</v>
      </c>
      <c r="C60" s="7" t="s">
        <v>299</v>
      </c>
      <c r="D60" s="8">
        <v>4.0</v>
      </c>
      <c r="E60" s="7" t="s">
        <v>14</v>
      </c>
      <c r="F60" s="9">
        <v>46044.0</v>
      </c>
      <c r="G60" s="11">
        <v>0.4479166666666667</v>
      </c>
      <c r="H60" s="11">
        <f t="shared" si="1"/>
        <v>0.4583333333</v>
      </c>
      <c r="I60" s="7" t="s">
        <v>300</v>
      </c>
      <c r="J60" s="7" t="s">
        <v>17</v>
      </c>
      <c r="K60" s="7" t="s">
        <v>301</v>
      </c>
      <c r="L60" s="12">
        <f>IFERROR(__xludf.DUMMYFUNCTION("COUNTUNIQUE($B$2:B60)"),59.0)</f>
        <v>59</v>
      </c>
    </row>
    <row r="61" ht="22.5" customHeight="1">
      <c r="A61" s="6" t="s">
        <v>302</v>
      </c>
      <c r="B61" s="6" t="s">
        <v>303</v>
      </c>
      <c r="C61" s="7" t="s">
        <v>304</v>
      </c>
      <c r="D61" s="8">
        <v>4.0</v>
      </c>
      <c r="E61" s="7" t="s">
        <v>14</v>
      </c>
      <c r="F61" s="9">
        <v>46044.0</v>
      </c>
      <c r="G61" s="11">
        <v>0.4583333333333333</v>
      </c>
      <c r="H61" s="11">
        <f t="shared" si="1"/>
        <v>0.46875</v>
      </c>
      <c r="I61" s="7" t="s">
        <v>305</v>
      </c>
      <c r="J61" s="7" t="s">
        <v>17</v>
      </c>
      <c r="K61" s="7" t="s">
        <v>306</v>
      </c>
      <c r="L61" s="12">
        <f>IFERROR(__xludf.DUMMYFUNCTION("COUNTUNIQUE($B$2:B61)"),60.0)</f>
        <v>60</v>
      </c>
    </row>
    <row r="62" ht="22.5" customHeight="1">
      <c r="A62" s="6" t="s">
        <v>307</v>
      </c>
      <c r="B62" s="6" t="s">
        <v>308</v>
      </c>
      <c r="C62" s="7" t="s">
        <v>309</v>
      </c>
      <c r="D62" s="8">
        <v>4.0</v>
      </c>
      <c r="E62" s="7" t="s">
        <v>14</v>
      </c>
      <c r="F62" s="9">
        <v>46044.0</v>
      </c>
      <c r="G62" s="11">
        <v>0.46875</v>
      </c>
      <c r="H62" s="11">
        <f t="shared" si="1"/>
        <v>0.4791666667</v>
      </c>
      <c r="I62" s="7" t="s">
        <v>310</v>
      </c>
      <c r="J62" s="7" t="s">
        <v>17</v>
      </c>
      <c r="K62" s="7" t="s">
        <v>311</v>
      </c>
      <c r="L62" s="12">
        <f>IFERROR(__xludf.DUMMYFUNCTION("COUNTUNIQUE($B$2:B62)"),61.0)</f>
        <v>61</v>
      </c>
    </row>
    <row r="63" ht="22.5" customHeight="1">
      <c r="A63" s="6" t="s">
        <v>312</v>
      </c>
      <c r="B63" s="6" t="s">
        <v>313</v>
      </c>
      <c r="C63" s="7" t="s">
        <v>314</v>
      </c>
      <c r="D63" s="8">
        <v>4.0</v>
      </c>
      <c r="E63" s="7" t="s">
        <v>14</v>
      </c>
      <c r="F63" s="9">
        <v>46044.0</v>
      </c>
      <c r="G63" s="11">
        <v>0.4791666666666667</v>
      </c>
      <c r="H63" s="11">
        <f t="shared" si="1"/>
        <v>0.4895833333</v>
      </c>
      <c r="I63" s="7" t="s">
        <v>315</v>
      </c>
      <c r="J63" s="7" t="s">
        <v>17</v>
      </c>
      <c r="K63" s="7" t="s">
        <v>316</v>
      </c>
      <c r="L63" s="12">
        <f>IFERROR(__xludf.DUMMYFUNCTION("COUNTUNIQUE($B$2:B63)"),62.0)</f>
        <v>62</v>
      </c>
    </row>
    <row r="64" ht="22.5" customHeight="1">
      <c r="A64" s="6" t="s">
        <v>317</v>
      </c>
      <c r="B64" s="6" t="s">
        <v>318</v>
      </c>
      <c r="C64" s="7" t="s">
        <v>319</v>
      </c>
      <c r="D64" s="8">
        <v>4.0</v>
      </c>
      <c r="E64" s="7" t="s">
        <v>14</v>
      </c>
      <c r="F64" s="9">
        <v>46044.0</v>
      </c>
      <c r="G64" s="11">
        <v>0.4895833333333333</v>
      </c>
      <c r="H64" s="11">
        <f t="shared" si="1"/>
        <v>0.5</v>
      </c>
      <c r="I64" s="7" t="s">
        <v>320</v>
      </c>
      <c r="J64" s="7" t="s">
        <v>17</v>
      </c>
      <c r="K64" s="7" t="s">
        <v>321</v>
      </c>
      <c r="L64" s="12">
        <f>IFERROR(__xludf.DUMMYFUNCTION("COUNTUNIQUE($B$2:B64)"),63.0)</f>
        <v>63</v>
      </c>
    </row>
    <row r="65" ht="22.5" customHeight="1">
      <c r="A65" s="6" t="s">
        <v>322</v>
      </c>
      <c r="B65" s="6" t="s">
        <v>323</v>
      </c>
      <c r="C65" s="7" t="s">
        <v>324</v>
      </c>
      <c r="D65" s="8">
        <v>4.0</v>
      </c>
      <c r="E65" s="7" t="s">
        <v>14</v>
      </c>
      <c r="F65" s="9">
        <v>46044.0</v>
      </c>
      <c r="G65" s="11">
        <v>0.5</v>
      </c>
      <c r="H65" s="11">
        <f t="shared" si="1"/>
        <v>0.5104166667</v>
      </c>
      <c r="I65" s="7" t="s">
        <v>325</v>
      </c>
      <c r="J65" s="7" t="s">
        <v>17</v>
      </c>
      <c r="K65" s="7" t="s">
        <v>326</v>
      </c>
      <c r="L65" s="12">
        <f>IFERROR(__xludf.DUMMYFUNCTION("COUNTUNIQUE($B$2:B65)"),64.0)</f>
        <v>64</v>
      </c>
    </row>
    <row r="66" ht="22.5" customHeight="1">
      <c r="A66" s="6" t="s">
        <v>327</v>
      </c>
      <c r="B66" s="6" t="s">
        <v>328</v>
      </c>
      <c r="C66" s="7" t="s">
        <v>329</v>
      </c>
      <c r="D66" s="8">
        <v>4.0</v>
      </c>
      <c r="E66" s="7" t="s">
        <v>14</v>
      </c>
      <c r="F66" s="9">
        <v>46044.0</v>
      </c>
      <c r="G66" s="11">
        <v>0.5104166666666666</v>
      </c>
      <c r="H66" s="11">
        <f t="shared" si="1"/>
        <v>0.5208333333</v>
      </c>
      <c r="I66" s="7" t="s">
        <v>110</v>
      </c>
      <c r="J66" s="7" t="s">
        <v>17</v>
      </c>
      <c r="K66" s="7" t="s">
        <v>330</v>
      </c>
      <c r="L66" s="12">
        <f>IFERROR(__xludf.DUMMYFUNCTION("COUNTUNIQUE($B$2:B66)"),65.0)</f>
        <v>65</v>
      </c>
    </row>
    <row r="67" ht="22.5" customHeight="1">
      <c r="A67" s="6" t="s">
        <v>331</v>
      </c>
      <c r="B67" s="6" t="s">
        <v>332</v>
      </c>
      <c r="C67" s="7" t="s">
        <v>333</v>
      </c>
      <c r="D67" s="8">
        <v>4.0</v>
      </c>
      <c r="E67" s="7" t="s">
        <v>14</v>
      </c>
      <c r="F67" s="9">
        <v>46044.0</v>
      </c>
      <c r="G67" s="11">
        <v>0.5416666666666666</v>
      </c>
      <c r="H67" s="11">
        <f t="shared" si="1"/>
        <v>0.5520833333</v>
      </c>
      <c r="I67" s="7" t="s">
        <v>110</v>
      </c>
      <c r="J67" s="7" t="s">
        <v>17</v>
      </c>
      <c r="K67" s="7" t="s">
        <v>334</v>
      </c>
      <c r="L67" s="12">
        <f>IFERROR(__xludf.DUMMYFUNCTION("COUNTUNIQUE($B$2:B67)"),66.0)</f>
        <v>66</v>
      </c>
    </row>
    <row r="68" ht="22.5" customHeight="1">
      <c r="A68" s="6" t="s">
        <v>335</v>
      </c>
      <c r="B68" s="6" t="s">
        <v>336</v>
      </c>
      <c r="C68" s="7" t="s">
        <v>337</v>
      </c>
      <c r="D68" s="8">
        <v>4.0</v>
      </c>
      <c r="E68" s="7" t="s">
        <v>14</v>
      </c>
      <c r="F68" s="9">
        <v>46044.0</v>
      </c>
      <c r="G68" s="11">
        <v>0.5520833333333334</v>
      </c>
      <c r="H68" s="11">
        <f t="shared" si="1"/>
        <v>0.5625</v>
      </c>
      <c r="I68" s="7" t="s">
        <v>338</v>
      </c>
      <c r="J68" s="7" t="s">
        <v>17</v>
      </c>
      <c r="K68" s="7" t="s">
        <v>339</v>
      </c>
      <c r="L68" s="12">
        <f>IFERROR(__xludf.DUMMYFUNCTION("COUNTUNIQUE($B$2:B68)"),67.0)</f>
        <v>67</v>
      </c>
    </row>
    <row r="69" ht="22.5" customHeight="1">
      <c r="A69" s="6" t="s">
        <v>340</v>
      </c>
      <c r="B69" s="6" t="s">
        <v>341</v>
      </c>
      <c r="C69" s="7" t="s">
        <v>342</v>
      </c>
      <c r="D69" s="8">
        <v>4.0</v>
      </c>
      <c r="E69" s="7" t="s">
        <v>14</v>
      </c>
      <c r="F69" s="9">
        <v>46044.0</v>
      </c>
      <c r="G69" s="11">
        <v>0.5625</v>
      </c>
      <c r="H69" s="11">
        <f t="shared" si="1"/>
        <v>0.5729166667</v>
      </c>
      <c r="I69" s="7" t="s">
        <v>343</v>
      </c>
      <c r="J69" s="7" t="s">
        <v>17</v>
      </c>
      <c r="K69" s="7" t="s">
        <v>344</v>
      </c>
      <c r="L69" s="12">
        <f>IFERROR(__xludf.DUMMYFUNCTION("COUNTUNIQUE($B$2:B69)"),68.0)</f>
        <v>68</v>
      </c>
    </row>
    <row r="70" ht="22.5" customHeight="1">
      <c r="A70" s="6" t="s">
        <v>345</v>
      </c>
      <c r="B70" s="6" t="s">
        <v>346</v>
      </c>
      <c r="C70" s="7" t="s">
        <v>347</v>
      </c>
      <c r="D70" s="8">
        <v>4.0</v>
      </c>
      <c r="E70" s="7" t="s">
        <v>14</v>
      </c>
      <c r="F70" s="9">
        <v>46044.0</v>
      </c>
      <c r="G70" s="11">
        <v>0.5729166666666666</v>
      </c>
      <c r="H70" s="11">
        <f t="shared" si="1"/>
        <v>0.5833333333</v>
      </c>
      <c r="I70" s="7" t="s">
        <v>348</v>
      </c>
      <c r="J70" s="7" t="s">
        <v>17</v>
      </c>
      <c r="K70" s="7" t="s">
        <v>349</v>
      </c>
      <c r="L70" s="12">
        <f>IFERROR(__xludf.DUMMYFUNCTION("COUNTUNIQUE($B$2:B70)"),69.0)</f>
        <v>69</v>
      </c>
    </row>
    <row r="71" ht="22.5" customHeight="1">
      <c r="A71" s="6" t="s">
        <v>350</v>
      </c>
      <c r="B71" s="6" t="s">
        <v>351</v>
      </c>
      <c r="C71" s="7" t="s">
        <v>352</v>
      </c>
      <c r="D71" s="8">
        <v>4.0</v>
      </c>
      <c r="E71" s="7" t="s">
        <v>14</v>
      </c>
      <c r="F71" s="9">
        <v>46044.0</v>
      </c>
      <c r="G71" s="11">
        <v>0.5833333333333334</v>
      </c>
      <c r="H71" s="11">
        <f t="shared" si="1"/>
        <v>0.59375</v>
      </c>
      <c r="I71" s="7" t="s">
        <v>353</v>
      </c>
      <c r="J71" s="7" t="s">
        <v>17</v>
      </c>
      <c r="K71" s="7" t="s">
        <v>354</v>
      </c>
      <c r="L71" s="12">
        <f>IFERROR(__xludf.DUMMYFUNCTION("COUNTUNIQUE($B$2:B71)"),70.0)</f>
        <v>70</v>
      </c>
    </row>
    <row r="72" ht="22.5" customHeight="1">
      <c r="A72" s="6" t="s">
        <v>355</v>
      </c>
      <c r="B72" s="6" t="s">
        <v>356</v>
      </c>
      <c r="C72" s="7" t="s">
        <v>357</v>
      </c>
      <c r="D72" s="8">
        <v>4.0</v>
      </c>
      <c r="E72" s="7" t="s">
        <v>14</v>
      </c>
      <c r="F72" s="9">
        <v>46044.0</v>
      </c>
      <c r="G72" s="11">
        <v>0.59375</v>
      </c>
      <c r="H72" s="11">
        <f t="shared" si="1"/>
        <v>0.6041666667</v>
      </c>
      <c r="I72" s="7" t="s">
        <v>358</v>
      </c>
      <c r="J72" s="7" t="s">
        <v>17</v>
      </c>
      <c r="K72" s="7" t="s">
        <v>359</v>
      </c>
      <c r="L72" s="12">
        <f>IFERROR(__xludf.DUMMYFUNCTION("COUNTUNIQUE($B$2:B72)"),71.0)</f>
        <v>71</v>
      </c>
    </row>
    <row r="73" ht="22.5" customHeight="1">
      <c r="A73" s="6" t="s">
        <v>360</v>
      </c>
      <c r="B73" s="6" t="s">
        <v>361</v>
      </c>
      <c r="C73" s="7" t="s">
        <v>362</v>
      </c>
      <c r="D73" s="8">
        <v>4.0</v>
      </c>
      <c r="E73" s="7" t="s">
        <v>14</v>
      </c>
      <c r="F73" s="9">
        <v>46044.0</v>
      </c>
      <c r="G73" s="11">
        <v>0.6041666666666666</v>
      </c>
      <c r="H73" s="11">
        <f t="shared" si="1"/>
        <v>0.6145833333</v>
      </c>
      <c r="I73" s="7" t="s">
        <v>363</v>
      </c>
      <c r="J73" s="7" t="s">
        <v>17</v>
      </c>
      <c r="K73" s="7" t="s">
        <v>364</v>
      </c>
      <c r="L73" s="12">
        <f>IFERROR(__xludf.DUMMYFUNCTION("COUNTUNIQUE($B$2:B73)"),72.0)</f>
        <v>72</v>
      </c>
    </row>
    <row r="74" ht="22.5" customHeight="1">
      <c r="A74" s="6" t="s">
        <v>365</v>
      </c>
      <c r="B74" s="6" t="s">
        <v>366</v>
      </c>
      <c r="C74" s="7" t="s">
        <v>367</v>
      </c>
      <c r="D74" s="8">
        <v>4.0</v>
      </c>
      <c r="E74" s="7" t="s">
        <v>14</v>
      </c>
      <c r="F74" s="9">
        <v>46044.0</v>
      </c>
      <c r="G74" s="11">
        <v>0.6145833333333334</v>
      </c>
      <c r="H74" s="11">
        <f t="shared" si="1"/>
        <v>0.625</v>
      </c>
      <c r="I74" s="7" t="s">
        <v>368</v>
      </c>
      <c r="J74" s="7" t="s">
        <v>17</v>
      </c>
      <c r="K74" s="7" t="s">
        <v>369</v>
      </c>
      <c r="L74" s="12">
        <f>IFERROR(__xludf.DUMMYFUNCTION("COUNTUNIQUE($B$2:B74)"),73.0)</f>
        <v>73</v>
      </c>
    </row>
    <row r="75" ht="22.5" customHeight="1">
      <c r="A75" s="6" t="s">
        <v>370</v>
      </c>
      <c r="B75" s="6" t="s">
        <v>371</v>
      </c>
      <c r="C75" s="7" t="s">
        <v>372</v>
      </c>
      <c r="D75" s="8">
        <v>4.0</v>
      </c>
      <c r="E75" s="7" t="s">
        <v>14</v>
      </c>
      <c r="F75" s="9">
        <v>46044.0</v>
      </c>
      <c r="G75" s="11">
        <v>0.6666666666666666</v>
      </c>
      <c r="H75" s="11">
        <f t="shared" si="1"/>
        <v>0.6770833333</v>
      </c>
      <c r="I75" s="7" t="s">
        <v>373</v>
      </c>
      <c r="J75" s="7" t="s">
        <v>17</v>
      </c>
      <c r="K75" s="7" t="s">
        <v>374</v>
      </c>
      <c r="L75" s="12">
        <f>IFERROR(__xludf.DUMMYFUNCTION("COUNTUNIQUE($B$2:B75)"),74.0)</f>
        <v>74</v>
      </c>
    </row>
    <row r="76" ht="22.5" customHeight="1">
      <c r="A76" s="6" t="s">
        <v>375</v>
      </c>
      <c r="B76" s="6" t="s">
        <v>376</v>
      </c>
      <c r="C76" s="7" t="s">
        <v>377</v>
      </c>
      <c r="D76" s="8">
        <v>4.0</v>
      </c>
      <c r="E76" s="7" t="s">
        <v>14</v>
      </c>
      <c r="F76" s="9">
        <v>46044.0</v>
      </c>
      <c r="G76" s="11">
        <v>0.6770833333333334</v>
      </c>
      <c r="H76" s="11">
        <f t="shared" si="1"/>
        <v>0.6875</v>
      </c>
      <c r="I76" s="7" t="s">
        <v>378</v>
      </c>
      <c r="J76" s="7" t="s">
        <v>17</v>
      </c>
      <c r="K76" s="7" t="s">
        <v>379</v>
      </c>
      <c r="L76" s="12">
        <f>IFERROR(__xludf.DUMMYFUNCTION("COUNTUNIQUE($B$2:B76)"),75.0)</f>
        <v>75</v>
      </c>
    </row>
    <row r="77" ht="22.5" customHeight="1">
      <c r="A77" s="6" t="s">
        <v>380</v>
      </c>
      <c r="B77" s="6" t="s">
        <v>381</v>
      </c>
      <c r="C77" s="7" t="s">
        <v>382</v>
      </c>
      <c r="D77" s="8">
        <v>4.0</v>
      </c>
      <c r="E77" s="7" t="s">
        <v>14</v>
      </c>
      <c r="F77" s="9">
        <v>46044.0</v>
      </c>
      <c r="G77" s="11">
        <v>0.6875</v>
      </c>
      <c r="H77" s="11">
        <f t="shared" si="1"/>
        <v>0.6979166667</v>
      </c>
      <c r="I77" s="7" t="s">
        <v>383</v>
      </c>
      <c r="J77" s="7" t="s">
        <v>17</v>
      </c>
      <c r="K77" s="7" t="s">
        <v>384</v>
      </c>
      <c r="L77" s="12">
        <f>IFERROR(__xludf.DUMMYFUNCTION("COUNTUNIQUE($B$2:B77)"),76.0)</f>
        <v>76</v>
      </c>
    </row>
    <row r="78" ht="22.5" customHeight="1">
      <c r="A78" s="6" t="s">
        <v>385</v>
      </c>
      <c r="B78" s="6" t="s">
        <v>386</v>
      </c>
      <c r="C78" s="7" t="s">
        <v>387</v>
      </c>
      <c r="D78" s="8">
        <v>5.0</v>
      </c>
      <c r="E78" s="7" t="s">
        <v>14</v>
      </c>
      <c r="F78" s="9">
        <v>46044.0</v>
      </c>
      <c r="G78" s="11">
        <v>0.4375</v>
      </c>
      <c r="H78" s="11">
        <f t="shared" si="1"/>
        <v>0.4479166667</v>
      </c>
      <c r="I78" s="7" t="s">
        <v>388</v>
      </c>
      <c r="J78" s="7" t="s">
        <v>17</v>
      </c>
      <c r="K78" s="7" t="s">
        <v>389</v>
      </c>
      <c r="L78" s="12">
        <f>IFERROR(__xludf.DUMMYFUNCTION("COUNTUNIQUE($B$2:B78)"),77.0)</f>
        <v>77</v>
      </c>
    </row>
    <row r="79" ht="22.5" customHeight="1">
      <c r="A79" s="6" t="s">
        <v>390</v>
      </c>
      <c r="B79" s="6" t="s">
        <v>391</v>
      </c>
      <c r="C79" s="7" t="s">
        <v>392</v>
      </c>
      <c r="D79" s="8">
        <v>5.0</v>
      </c>
      <c r="E79" s="7" t="s">
        <v>14</v>
      </c>
      <c r="F79" s="9">
        <v>46044.0</v>
      </c>
      <c r="G79" s="11">
        <v>0.4479166666666667</v>
      </c>
      <c r="H79" s="11">
        <f t="shared" si="1"/>
        <v>0.4583333333</v>
      </c>
      <c r="I79" s="7" t="s">
        <v>393</v>
      </c>
      <c r="J79" s="7" t="s">
        <v>17</v>
      </c>
      <c r="K79" s="7" t="s">
        <v>394</v>
      </c>
      <c r="L79" s="12">
        <f>IFERROR(__xludf.DUMMYFUNCTION("COUNTUNIQUE($B$2:B79)"),78.0)</f>
        <v>78</v>
      </c>
    </row>
    <row r="80" ht="22.5" customHeight="1">
      <c r="A80" s="6" t="s">
        <v>395</v>
      </c>
      <c r="B80" s="6" t="s">
        <v>396</v>
      </c>
      <c r="C80" s="7" t="s">
        <v>397</v>
      </c>
      <c r="D80" s="8">
        <v>5.0</v>
      </c>
      <c r="E80" s="7" t="s">
        <v>14</v>
      </c>
      <c r="F80" s="9">
        <v>46044.0</v>
      </c>
      <c r="G80" s="11">
        <v>0.4583333333333333</v>
      </c>
      <c r="H80" s="11">
        <f t="shared" si="1"/>
        <v>0.46875</v>
      </c>
      <c r="I80" s="7" t="s">
        <v>398</v>
      </c>
      <c r="J80" s="7" t="s">
        <v>17</v>
      </c>
      <c r="K80" s="7" t="s">
        <v>399</v>
      </c>
      <c r="L80" s="12">
        <f>IFERROR(__xludf.DUMMYFUNCTION("COUNTUNIQUE($B$2:B80)"),79.0)</f>
        <v>79</v>
      </c>
    </row>
    <row r="81" ht="22.5" customHeight="1">
      <c r="A81" s="6" t="s">
        <v>400</v>
      </c>
      <c r="B81" s="6" t="s">
        <v>401</v>
      </c>
      <c r="C81" s="7" t="s">
        <v>402</v>
      </c>
      <c r="D81" s="8">
        <v>5.0</v>
      </c>
      <c r="E81" s="7" t="s">
        <v>14</v>
      </c>
      <c r="F81" s="9">
        <v>46044.0</v>
      </c>
      <c r="G81" s="11">
        <v>0.46875</v>
      </c>
      <c r="H81" s="11">
        <f t="shared" si="1"/>
        <v>0.4791666667</v>
      </c>
      <c r="I81" s="7" t="s">
        <v>120</v>
      </c>
      <c r="J81" s="7" t="s">
        <v>17</v>
      </c>
      <c r="K81" s="7" t="s">
        <v>403</v>
      </c>
      <c r="L81" s="12">
        <f>IFERROR(__xludf.DUMMYFUNCTION("COUNTUNIQUE($B$2:B81)"),80.0)</f>
        <v>80</v>
      </c>
    </row>
    <row r="82" ht="22.5" customHeight="1">
      <c r="A82" s="6" t="s">
        <v>404</v>
      </c>
      <c r="B82" s="6" t="s">
        <v>405</v>
      </c>
      <c r="C82" s="7" t="s">
        <v>406</v>
      </c>
      <c r="D82" s="8">
        <v>5.0</v>
      </c>
      <c r="E82" s="7" t="s">
        <v>14</v>
      </c>
      <c r="F82" s="9">
        <v>46044.0</v>
      </c>
      <c r="G82" s="11">
        <v>0.4791666666666667</v>
      </c>
      <c r="H82" s="11">
        <f t="shared" si="1"/>
        <v>0.4895833333</v>
      </c>
      <c r="I82" s="7" t="s">
        <v>407</v>
      </c>
      <c r="J82" s="7" t="s">
        <v>17</v>
      </c>
      <c r="K82" s="7" t="s">
        <v>408</v>
      </c>
      <c r="L82" s="12">
        <f>IFERROR(__xludf.DUMMYFUNCTION("COUNTUNIQUE($B$2:B82)"),81.0)</f>
        <v>81</v>
      </c>
    </row>
    <row r="83" ht="22.5" customHeight="1">
      <c r="A83" s="6" t="s">
        <v>409</v>
      </c>
      <c r="B83" s="6" t="s">
        <v>410</v>
      </c>
      <c r="C83" s="7" t="s">
        <v>411</v>
      </c>
      <c r="D83" s="8">
        <v>5.0</v>
      </c>
      <c r="E83" s="7" t="s">
        <v>14</v>
      </c>
      <c r="F83" s="9">
        <v>46044.0</v>
      </c>
      <c r="G83" s="11">
        <v>0.4895833333333333</v>
      </c>
      <c r="H83" s="11">
        <f t="shared" si="1"/>
        <v>0.5</v>
      </c>
      <c r="I83" s="7" t="s">
        <v>412</v>
      </c>
      <c r="J83" s="7" t="s">
        <v>17</v>
      </c>
      <c r="K83" s="7" t="s">
        <v>413</v>
      </c>
      <c r="L83" s="12">
        <f>IFERROR(__xludf.DUMMYFUNCTION("COUNTUNIQUE($B$2:B83)"),82.0)</f>
        <v>82</v>
      </c>
    </row>
    <row r="84" ht="22.5" customHeight="1">
      <c r="A84" s="6" t="s">
        <v>414</v>
      </c>
      <c r="B84" s="6" t="s">
        <v>415</v>
      </c>
      <c r="C84" s="7" t="s">
        <v>416</v>
      </c>
      <c r="D84" s="8">
        <v>5.0</v>
      </c>
      <c r="E84" s="7" t="s">
        <v>14</v>
      </c>
      <c r="F84" s="9">
        <v>46044.0</v>
      </c>
      <c r="G84" s="11">
        <v>0.5</v>
      </c>
      <c r="H84" s="11">
        <f t="shared" si="1"/>
        <v>0.5104166667</v>
      </c>
      <c r="I84" s="7" t="s">
        <v>417</v>
      </c>
      <c r="J84" s="7" t="s">
        <v>17</v>
      </c>
      <c r="K84" s="7" t="s">
        <v>418</v>
      </c>
      <c r="L84" s="12">
        <f>IFERROR(__xludf.DUMMYFUNCTION("COUNTUNIQUE($B$2:B84)"),83.0)</f>
        <v>83</v>
      </c>
    </row>
    <row r="85" ht="22.5" customHeight="1">
      <c r="A85" s="6" t="s">
        <v>419</v>
      </c>
      <c r="B85" s="6" t="s">
        <v>420</v>
      </c>
      <c r="C85" s="7" t="s">
        <v>421</v>
      </c>
      <c r="D85" s="8">
        <v>5.0</v>
      </c>
      <c r="E85" s="7" t="s">
        <v>14</v>
      </c>
      <c r="F85" s="9">
        <v>46044.0</v>
      </c>
      <c r="G85" s="11">
        <v>0.5104166666666666</v>
      </c>
      <c r="H85" s="11">
        <f t="shared" si="1"/>
        <v>0.5208333333</v>
      </c>
      <c r="I85" s="7" t="s">
        <v>422</v>
      </c>
      <c r="J85" s="7" t="s">
        <v>17</v>
      </c>
      <c r="K85" s="7" t="s">
        <v>423</v>
      </c>
      <c r="L85" s="12">
        <f>IFERROR(__xludf.DUMMYFUNCTION("COUNTUNIQUE($B$2:B85)"),84.0)</f>
        <v>84</v>
      </c>
    </row>
    <row r="86" ht="22.5" customHeight="1">
      <c r="A86" s="6" t="s">
        <v>424</v>
      </c>
      <c r="B86" s="6" t="s">
        <v>425</v>
      </c>
      <c r="C86" s="7" t="s">
        <v>426</v>
      </c>
      <c r="D86" s="8">
        <v>5.0</v>
      </c>
      <c r="E86" s="7" t="s">
        <v>14</v>
      </c>
      <c r="F86" s="9">
        <v>46044.0</v>
      </c>
      <c r="G86" s="11">
        <v>0.5416666666666666</v>
      </c>
      <c r="H86" s="11">
        <f t="shared" si="1"/>
        <v>0.5520833333</v>
      </c>
      <c r="I86" s="7" t="s">
        <v>427</v>
      </c>
      <c r="J86" s="7" t="s">
        <v>17</v>
      </c>
      <c r="K86" s="7" t="s">
        <v>428</v>
      </c>
      <c r="L86" s="12">
        <f>IFERROR(__xludf.DUMMYFUNCTION("COUNTUNIQUE($B$2:B86)"),85.0)</f>
        <v>85</v>
      </c>
    </row>
    <row r="87" ht="22.5" customHeight="1">
      <c r="A87" s="6" t="s">
        <v>429</v>
      </c>
      <c r="B87" s="6" t="s">
        <v>430</v>
      </c>
      <c r="C87" s="7" t="s">
        <v>431</v>
      </c>
      <c r="D87" s="8">
        <v>5.0</v>
      </c>
      <c r="E87" s="7" t="s">
        <v>14</v>
      </c>
      <c r="F87" s="9">
        <v>46044.0</v>
      </c>
      <c r="G87" s="11">
        <v>0.5520833333333334</v>
      </c>
      <c r="H87" s="11">
        <f t="shared" si="1"/>
        <v>0.5625</v>
      </c>
      <c r="I87" s="7" t="s">
        <v>432</v>
      </c>
      <c r="J87" s="7" t="s">
        <v>17</v>
      </c>
      <c r="K87" s="7" t="s">
        <v>433</v>
      </c>
      <c r="L87" s="12">
        <f>IFERROR(__xludf.DUMMYFUNCTION("COUNTUNIQUE($B$2:B87)"),86.0)</f>
        <v>86</v>
      </c>
    </row>
    <row r="88" ht="22.5" customHeight="1">
      <c r="A88" s="6" t="s">
        <v>434</v>
      </c>
      <c r="B88" s="6" t="s">
        <v>435</v>
      </c>
      <c r="C88" s="7" t="s">
        <v>436</v>
      </c>
      <c r="D88" s="8">
        <v>5.0</v>
      </c>
      <c r="E88" s="7" t="s">
        <v>14</v>
      </c>
      <c r="F88" s="9">
        <v>46044.0</v>
      </c>
      <c r="G88" s="11">
        <v>0.5625</v>
      </c>
      <c r="H88" s="11">
        <f t="shared" si="1"/>
        <v>0.5729166667</v>
      </c>
      <c r="I88" s="7" t="s">
        <v>437</v>
      </c>
      <c r="J88" s="7" t="s">
        <v>17</v>
      </c>
      <c r="K88" s="7" t="s">
        <v>438</v>
      </c>
      <c r="L88" s="12">
        <f>IFERROR(__xludf.DUMMYFUNCTION("COUNTUNIQUE($B$2:B88)"),87.0)</f>
        <v>87</v>
      </c>
    </row>
    <row r="89" ht="22.5" customHeight="1">
      <c r="A89" s="6" t="s">
        <v>439</v>
      </c>
      <c r="B89" s="6" t="s">
        <v>440</v>
      </c>
      <c r="C89" s="7" t="s">
        <v>441</v>
      </c>
      <c r="D89" s="8">
        <v>5.0</v>
      </c>
      <c r="E89" s="7" t="s">
        <v>14</v>
      </c>
      <c r="F89" s="9">
        <v>46044.0</v>
      </c>
      <c r="G89" s="11">
        <v>0.5729166666666666</v>
      </c>
      <c r="H89" s="11">
        <f t="shared" si="1"/>
        <v>0.5833333333</v>
      </c>
      <c r="I89" s="7" t="s">
        <v>442</v>
      </c>
      <c r="J89" s="7" t="s">
        <v>17</v>
      </c>
      <c r="K89" s="7" t="s">
        <v>438</v>
      </c>
      <c r="L89" s="12">
        <f>IFERROR(__xludf.DUMMYFUNCTION("COUNTUNIQUE($B$2:B89)"),88.0)</f>
        <v>88</v>
      </c>
    </row>
    <row r="90" ht="22.5" customHeight="1">
      <c r="A90" s="6" t="s">
        <v>443</v>
      </c>
      <c r="B90" s="6" t="s">
        <v>444</v>
      </c>
      <c r="C90" s="7" t="s">
        <v>445</v>
      </c>
      <c r="D90" s="8">
        <v>5.0</v>
      </c>
      <c r="E90" s="7" t="s">
        <v>14</v>
      </c>
      <c r="F90" s="9">
        <v>46044.0</v>
      </c>
      <c r="G90" s="11">
        <v>0.5833333333333334</v>
      </c>
      <c r="H90" s="11">
        <f t="shared" si="1"/>
        <v>0.59375</v>
      </c>
      <c r="I90" s="7" t="s">
        <v>446</v>
      </c>
      <c r="J90" s="7" t="s">
        <v>17</v>
      </c>
      <c r="K90" s="7" t="s">
        <v>447</v>
      </c>
      <c r="L90" s="12">
        <f>IFERROR(__xludf.DUMMYFUNCTION("COUNTUNIQUE($B$2:B90)"),89.0)</f>
        <v>89</v>
      </c>
    </row>
    <row r="91" ht="22.5" customHeight="1">
      <c r="A91" s="6" t="s">
        <v>448</v>
      </c>
      <c r="B91" s="6" t="s">
        <v>449</v>
      </c>
      <c r="C91" s="7" t="s">
        <v>450</v>
      </c>
      <c r="D91" s="8">
        <v>5.0</v>
      </c>
      <c r="E91" s="7" t="s">
        <v>14</v>
      </c>
      <c r="F91" s="9">
        <v>46044.0</v>
      </c>
      <c r="G91" s="11">
        <v>0.59375</v>
      </c>
      <c r="H91" s="11">
        <f t="shared" si="1"/>
        <v>0.6041666667</v>
      </c>
      <c r="I91" s="7" t="s">
        <v>451</v>
      </c>
      <c r="J91" s="7" t="s">
        <v>17</v>
      </c>
      <c r="K91" s="7" t="s">
        <v>452</v>
      </c>
      <c r="L91" s="12">
        <f>IFERROR(__xludf.DUMMYFUNCTION("COUNTUNIQUE($B$2:B91)"),90.0)</f>
        <v>90</v>
      </c>
    </row>
    <row r="92" ht="22.5" customHeight="1">
      <c r="A92" s="6" t="s">
        <v>453</v>
      </c>
      <c r="B92" s="6" t="s">
        <v>454</v>
      </c>
      <c r="C92" s="7" t="s">
        <v>455</v>
      </c>
      <c r="D92" s="8">
        <v>5.0</v>
      </c>
      <c r="E92" s="7" t="s">
        <v>14</v>
      </c>
      <c r="F92" s="9">
        <v>46044.0</v>
      </c>
      <c r="G92" s="11">
        <v>0.6145833333333334</v>
      </c>
      <c r="H92" s="11">
        <f t="shared" si="1"/>
        <v>0.625</v>
      </c>
      <c r="I92" s="7" t="s">
        <v>456</v>
      </c>
      <c r="J92" s="7" t="s">
        <v>17</v>
      </c>
      <c r="K92" s="7" t="s">
        <v>457</v>
      </c>
      <c r="L92" s="12">
        <f>IFERROR(__xludf.DUMMYFUNCTION("COUNTUNIQUE($B$2:B92)"),91.0)</f>
        <v>91</v>
      </c>
    </row>
    <row r="93" ht="22.5" customHeight="1">
      <c r="A93" s="6" t="s">
        <v>458</v>
      </c>
      <c r="B93" s="6" t="s">
        <v>459</v>
      </c>
      <c r="C93" s="7" t="s">
        <v>460</v>
      </c>
      <c r="D93" s="8">
        <v>5.0</v>
      </c>
      <c r="E93" s="7" t="s">
        <v>14</v>
      </c>
      <c r="F93" s="9">
        <v>46044.0</v>
      </c>
      <c r="G93" s="11">
        <v>0.625</v>
      </c>
      <c r="H93" s="11">
        <f t="shared" si="1"/>
        <v>0.6354166667</v>
      </c>
      <c r="I93" s="7" t="s">
        <v>461</v>
      </c>
      <c r="J93" s="7" t="s">
        <v>17</v>
      </c>
      <c r="K93" s="7" t="s">
        <v>462</v>
      </c>
      <c r="L93" s="12">
        <f>IFERROR(__xludf.DUMMYFUNCTION("COUNTUNIQUE($B$2:B93)"),92.0)</f>
        <v>92</v>
      </c>
    </row>
    <row r="94" ht="22.5" customHeight="1">
      <c r="A94" s="6" t="s">
        <v>463</v>
      </c>
      <c r="B94" s="6" t="s">
        <v>464</v>
      </c>
      <c r="C94" s="7" t="s">
        <v>465</v>
      </c>
      <c r="D94" s="8">
        <v>5.0</v>
      </c>
      <c r="E94" s="7" t="s">
        <v>14</v>
      </c>
      <c r="F94" s="9">
        <v>46044.0</v>
      </c>
      <c r="G94" s="11">
        <v>0.6354166666666666</v>
      </c>
      <c r="H94" s="11">
        <f t="shared" si="1"/>
        <v>0.6458333333</v>
      </c>
      <c r="I94" s="7" t="s">
        <v>466</v>
      </c>
      <c r="J94" s="7" t="s">
        <v>17</v>
      </c>
      <c r="K94" s="7" t="s">
        <v>467</v>
      </c>
      <c r="L94" s="12">
        <f>IFERROR(__xludf.DUMMYFUNCTION("COUNTUNIQUE($B$2:B94)"),93.0)</f>
        <v>93</v>
      </c>
    </row>
    <row r="95" ht="22.5" customHeight="1">
      <c r="A95" s="6" t="s">
        <v>468</v>
      </c>
      <c r="B95" s="6" t="s">
        <v>469</v>
      </c>
      <c r="C95" s="7" t="s">
        <v>470</v>
      </c>
      <c r="D95" s="8">
        <v>5.0</v>
      </c>
      <c r="E95" s="7" t="s">
        <v>14</v>
      </c>
      <c r="F95" s="9">
        <v>46044.0</v>
      </c>
      <c r="G95" s="11">
        <v>0.6458333333333334</v>
      </c>
      <c r="H95" s="11">
        <f t="shared" si="1"/>
        <v>0.65625</v>
      </c>
      <c r="I95" s="7" t="s">
        <v>471</v>
      </c>
      <c r="J95" s="7" t="s">
        <v>17</v>
      </c>
      <c r="K95" s="7" t="s">
        <v>472</v>
      </c>
      <c r="L95" s="12">
        <f>IFERROR(__xludf.DUMMYFUNCTION("COUNTUNIQUE($B$2:B95)"),94.0)</f>
        <v>94</v>
      </c>
    </row>
    <row r="96" ht="22.5" customHeight="1">
      <c r="A96" s="6" t="s">
        <v>473</v>
      </c>
      <c r="B96" s="6" t="s">
        <v>474</v>
      </c>
      <c r="C96" s="7" t="s">
        <v>475</v>
      </c>
      <c r="D96" s="8">
        <v>5.0</v>
      </c>
      <c r="E96" s="7" t="s">
        <v>14</v>
      </c>
      <c r="F96" s="9">
        <v>46044.0</v>
      </c>
      <c r="G96" s="11">
        <v>0.6666666666666666</v>
      </c>
      <c r="H96" s="11">
        <f t="shared" si="1"/>
        <v>0.6770833333</v>
      </c>
      <c r="I96" s="7" t="s">
        <v>476</v>
      </c>
      <c r="J96" s="7" t="s">
        <v>17</v>
      </c>
      <c r="K96" s="7" t="s">
        <v>477</v>
      </c>
      <c r="L96" s="12">
        <f>IFERROR(__xludf.DUMMYFUNCTION("COUNTUNIQUE($B$2:B96)"),95.0)</f>
        <v>95</v>
      </c>
    </row>
    <row r="97" ht="22.5" customHeight="1">
      <c r="A97" s="6" t="s">
        <v>478</v>
      </c>
      <c r="B97" s="6" t="s">
        <v>479</v>
      </c>
      <c r="C97" s="7" t="s">
        <v>480</v>
      </c>
      <c r="D97" s="8">
        <v>5.0</v>
      </c>
      <c r="E97" s="7" t="s">
        <v>14</v>
      </c>
      <c r="F97" s="9">
        <v>46044.0</v>
      </c>
      <c r="G97" s="11">
        <v>0.6770833333333334</v>
      </c>
      <c r="H97" s="11">
        <f t="shared" si="1"/>
        <v>0.6875</v>
      </c>
      <c r="I97" s="7" t="s">
        <v>481</v>
      </c>
      <c r="J97" s="7" t="s">
        <v>17</v>
      </c>
      <c r="K97" s="7" t="s">
        <v>482</v>
      </c>
      <c r="L97" s="12">
        <f>IFERROR(__xludf.DUMMYFUNCTION("COUNTUNIQUE($B$2:B97)"),96.0)</f>
        <v>96</v>
      </c>
    </row>
    <row r="98" ht="22.5" customHeight="1">
      <c r="A98" s="6" t="s">
        <v>483</v>
      </c>
      <c r="B98" s="6" t="s">
        <v>484</v>
      </c>
      <c r="C98" s="7" t="s">
        <v>485</v>
      </c>
      <c r="D98" s="8">
        <v>5.0</v>
      </c>
      <c r="E98" s="7" t="s">
        <v>14</v>
      </c>
      <c r="F98" s="9">
        <v>46044.0</v>
      </c>
      <c r="G98" s="11">
        <v>0.6875</v>
      </c>
      <c r="H98" s="11">
        <f t="shared" si="1"/>
        <v>0.6979166667</v>
      </c>
      <c r="I98" s="7" t="s">
        <v>486</v>
      </c>
      <c r="J98" s="7" t="s">
        <v>17</v>
      </c>
      <c r="K98" s="7" t="s">
        <v>487</v>
      </c>
      <c r="L98" s="12">
        <f>IFERROR(__xludf.DUMMYFUNCTION("COUNTUNIQUE($B$2:B98)"),97.0)</f>
        <v>97</v>
      </c>
    </row>
    <row r="99" ht="22.5" customHeight="1">
      <c r="A99" s="6" t="s">
        <v>488</v>
      </c>
      <c r="B99" s="6" t="s">
        <v>489</v>
      </c>
      <c r="C99" s="7" t="s">
        <v>490</v>
      </c>
      <c r="D99" s="8">
        <v>5.0</v>
      </c>
      <c r="E99" s="7" t="s">
        <v>14</v>
      </c>
      <c r="F99" s="9">
        <v>46044.0</v>
      </c>
      <c r="G99" s="11">
        <v>0.6979166666666666</v>
      </c>
      <c r="H99" s="11">
        <f t="shared" si="1"/>
        <v>0.7083333333</v>
      </c>
      <c r="I99" s="7" t="s">
        <v>110</v>
      </c>
      <c r="J99" s="7" t="s">
        <v>17</v>
      </c>
      <c r="K99" s="7" t="s">
        <v>491</v>
      </c>
      <c r="L99" s="12">
        <f>IFERROR(__xludf.DUMMYFUNCTION("COUNTUNIQUE($B$2:B99)"),98.0)</f>
        <v>98</v>
      </c>
    </row>
    <row r="100" ht="22.5" customHeight="1">
      <c r="A100" s="6" t="s">
        <v>492</v>
      </c>
      <c r="B100" s="6" t="s">
        <v>493</v>
      </c>
      <c r="C100" s="7" t="s">
        <v>494</v>
      </c>
      <c r="D100" s="8">
        <v>4.0</v>
      </c>
      <c r="E100" s="7" t="s">
        <v>14</v>
      </c>
      <c r="F100" s="9">
        <v>46044.0</v>
      </c>
      <c r="G100" s="11">
        <v>0.6979166666666666</v>
      </c>
      <c r="H100" s="11">
        <f t="shared" si="1"/>
        <v>0.7083333333</v>
      </c>
      <c r="I100" s="7" t="s">
        <v>495</v>
      </c>
      <c r="J100" s="7" t="s">
        <v>17</v>
      </c>
      <c r="K100" s="7" t="s">
        <v>496</v>
      </c>
      <c r="L100" s="12">
        <f>IFERROR(__xludf.DUMMYFUNCTION("COUNTUNIQUE($B$2:B100)"),99.0)</f>
        <v>99</v>
      </c>
    </row>
    <row r="101" ht="22.5" customHeight="1">
      <c r="A101" s="6" t="s">
        <v>497</v>
      </c>
      <c r="B101" s="6" t="s">
        <v>498</v>
      </c>
      <c r="C101" s="7" t="s">
        <v>499</v>
      </c>
      <c r="D101" s="8">
        <v>5.0</v>
      </c>
      <c r="E101" s="7" t="s">
        <v>14</v>
      </c>
      <c r="F101" s="9">
        <v>46044.0</v>
      </c>
      <c r="G101" s="11">
        <v>0.71875</v>
      </c>
      <c r="H101" s="11">
        <f t="shared" si="1"/>
        <v>0.7291666667</v>
      </c>
      <c r="I101" s="7" t="s">
        <v>500</v>
      </c>
      <c r="J101" s="7" t="s">
        <v>17</v>
      </c>
      <c r="K101" s="7" t="s">
        <v>501</v>
      </c>
      <c r="L101" s="12">
        <f>IFERROR(__xludf.DUMMYFUNCTION("COUNTUNIQUE($B$2:B101)"),100.0)</f>
        <v>100</v>
      </c>
    </row>
    <row r="102" ht="22.5" customHeight="1">
      <c r="A102" s="6" t="s">
        <v>502</v>
      </c>
      <c r="B102" s="6" t="s">
        <v>503</v>
      </c>
      <c r="C102" s="7" t="s">
        <v>504</v>
      </c>
      <c r="D102" s="8">
        <v>3.0</v>
      </c>
      <c r="E102" s="7" t="s">
        <v>14</v>
      </c>
      <c r="F102" s="9">
        <v>46044.0</v>
      </c>
      <c r="G102" s="11">
        <v>0.7083333333333334</v>
      </c>
      <c r="H102" s="11">
        <f t="shared" si="1"/>
        <v>0.71875</v>
      </c>
      <c r="I102" s="7" t="s">
        <v>505</v>
      </c>
      <c r="J102" s="7" t="s">
        <v>17</v>
      </c>
      <c r="K102" s="7" t="s">
        <v>506</v>
      </c>
      <c r="L102" s="12">
        <f>IFERROR(__xludf.DUMMYFUNCTION("COUNTUNIQUE($B$2:B102)"),101.0)</f>
        <v>101</v>
      </c>
    </row>
    <row r="103" ht="22.5" customHeight="1">
      <c r="A103" s="6" t="s">
        <v>507</v>
      </c>
      <c r="B103" s="6" t="s">
        <v>508</v>
      </c>
      <c r="C103" s="7" t="s">
        <v>509</v>
      </c>
      <c r="D103" s="8">
        <v>1.0</v>
      </c>
      <c r="E103" s="7" t="s">
        <v>14</v>
      </c>
      <c r="F103" s="9">
        <v>46045.0</v>
      </c>
      <c r="G103" s="11">
        <v>0.59375</v>
      </c>
      <c r="H103" s="11">
        <f t="shared" si="1"/>
        <v>0.6041666667</v>
      </c>
      <c r="I103" s="7" t="s">
        <v>510</v>
      </c>
      <c r="J103" s="7" t="s">
        <v>17</v>
      </c>
      <c r="K103" s="7" t="s">
        <v>511</v>
      </c>
      <c r="L103" s="12">
        <f>IFERROR(__xludf.DUMMYFUNCTION("COUNTUNIQUE($B$2:B103)"),102.0)</f>
        <v>102</v>
      </c>
    </row>
    <row r="104" ht="22.5" customHeight="1">
      <c r="A104" s="6" t="s">
        <v>512</v>
      </c>
      <c r="B104" s="6" t="s">
        <v>513</v>
      </c>
      <c r="C104" s="7" t="s">
        <v>514</v>
      </c>
      <c r="D104" s="8">
        <v>1.0</v>
      </c>
      <c r="E104" s="7" t="s">
        <v>14</v>
      </c>
      <c r="F104" s="9">
        <v>46045.0</v>
      </c>
      <c r="G104" s="11">
        <v>0.6041666666666666</v>
      </c>
      <c r="H104" s="11">
        <f t="shared" si="1"/>
        <v>0.6145833333</v>
      </c>
      <c r="I104" s="7" t="s">
        <v>515</v>
      </c>
      <c r="J104" s="7" t="s">
        <v>17</v>
      </c>
      <c r="K104" s="7" t="s">
        <v>516</v>
      </c>
      <c r="L104" s="12">
        <f>IFERROR(__xludf.DUMMYFUNCTION("COUNTUNIQUE($B$2:B104)"),103.0)</f>
        <v>103</v>
      </c>
    </row>
    <row r="105" ht="22.5" customHeight="1">
      <c r="A105" s="6" t="s">
        <v>517</v>
      </c>
      <c r="B105" s="6" t="s">
        <v>518</v>
      </c>
      <c r="C105" s="7" t="s">
        <v>519</v>
      </c>
      <c r="D105" s="8">
        <v>1.0</v>
      </c>
      <c r="E105" s="7" t="s">
        <v>14</v>
      </c>
      <c r="F105" s="9">
        <v>46045.0</v>
      </c>
      <c r="G105" s="11">
        <v>0.6145833333333334</v>
      </c>
      <c r="H105" s="11">
        <f t="shared" si="1"/>
        <v>0.625</v>
      </c>
      <c r="I105" s="7" t="s">
        <v>510</v>
      </c>
      <c r="J105" s="7" t="s">
        <v>17</v>
      </c>
      <c r="K105" s="7" t="s">
        <v>520</v>
      </c>
      <c r="L105" s="12">
        <f>IFERROR(__xludf.DUMMYFUNCTION("COUNTUNIQUE($B$2:B105)"),104.0)</f>
        <v>104</v>
      </c>
    </row>
    <row r="106" ht="22.5" customHeight="1">
      <c r="A106" s="6" t="s">
        <v>521</v>
      </c>
      <c r="B106" s="6" t="s">
        <v>522</v>
      </c>
      <c r="C106" s="7" t="s">
        <v>523</v>
      </c>
      <c r="D106" s="8">
        <v>1.0</v>
      </c>
      <c r="E106" s="7" t="s">
        <v>14</v>
      </c>
      <c r="F106" s="9">
        <v>46045.0</v>
      </c>
      <c r="G106" s="11">
        <v>0.625</v>
      </c>
      <c r="H106" s="11">
        <f t="shared" si="1"/>
        <v>0.6354166667</v>
      </c>
      <c r="I106" s="7" t="s">
        <v>173</v>
      </c>
      <c r="J106" s="7" t="s">
        <v>17</v>
      </c>
      <c r="K106" s="7" t="s">
        <v>524</v>
      </c>
      <c r="L106" s="12">
        <f>IFERROR(__xludf.DUMMYFUNCTION("COUNTUNIQUE($B$2:B106)"),105.0)</f>
        <v>105</v>
      </c>
    </row>
    <row r="107" ht="22.5" customHeight="1">
      <c r="A107" s="6" t="s">
        <v>525</v>
      </c>
      <c r="B107" s="6" t="s">
        <v>526</v>
      </c>
      <c r="C107" s="7" t="s">
        <v>527</v>
      </c>
      <c r="D107" s="8">
        <v>1.0</v>
      </c>
      <c r="E107" s="7" t="s">
        <v>14</v>
      </c>
      <c r="F107" s="9">
        <v>46045.0</v>
      </c>
      <c r="G107" s="11">
        <v>0.6666666666666666</v>
      </c>
      <c r="H107" s="11">
        <f t="shared" si="1"/>
        <v>0.6770833333</v>
      </c>
      <c r="I107" s="7" t="s">
        <v>528</v>
      </c>
      <c r="J107" s="7" t="s">
        <v>17</v>
      </c>
      <c r="K107" s="7" t="s">
        <v>529</v>
      </c>
      <c r="L107" s="12">
        <f>IFERROR(__xludf.DUMMYFUNCTION("COUNTUNIQUE($B$2:B107)"),106.0)</f>
        <v>106</v>
      </c>
    </row>
    <row r="108" ht="22.5" customHeight="1">
      <c r="A108" s="6" t="s">
        <v>530</v>
      </c>
      <c r="B108" s="6" t="s">
        <v>531</v>
      </c>
      <c r="C108" s="7" t="s">
        <v>532</v>
      </c>
      <c r="D108" s="8">
        <v>1.0</v>
      </c>
      <c r="E108" s="7" t="s">
        <v>14</v>
      </c>
      <c r="F108" s="9">
        <v>46045.0</v>
      </c>
      <c r="G108" s="11">
        <v>0.71875</v>
      </c>
      <c r="H108" s="11">
        <f t="shared" si="1"/>
        <v>0.7291666667</v>
      </c>
      <c r="I108" s="7" t="s">
        <v>120</v>
      </c>
      <c r="J108" s="7" t="s">
        <v>17</v>
      </c>
      <c r="K108" s="7" t="s">
        <v>533</v>
      </c>
      <c r="L108" s="12">
        <f>IFERROR(__xludf.DUMMYFUNCTION("COUNTUNIQUE($B$2:B108)"),107.0)</f>
        <v>107</v>
      </c>
    </row>
    <row r="109" ht="22.5" customHeight="1">
      <c r="A109" s="6" t="s">
        <v>534</v>
      </c>
      <c r="B109" s="6" t="s">
        <v>535</v>
      </c>
      <c r="C109" s="7" t="s">
        <v>536</v>
      </c>
      <c r="D109" s="8">
        <v>1.0</v>
      </c>
      <c r="E109" s="7" t="s">
        <v>14</v>
      </c>
      <c r="F109" s="9">
        <v>46045.0</v>
      </c>
      <c r="G109" s="11">
        <v>0.6458333333333334</v>
      </c>
      <c r="H109" s="11">
        <f t="shared" si="1"/>
        <v>0.65625</v>
      </c>
      <c r="I109" s="7" t="s">
        <v>528</v>
      </c>
      <c r="J109" s="7" t="s">
        <v>17</v>
      </c>
      <c r="K109" s="7" t="s">
        <v>537</v>
      </c>
      <c r="L109" s="12">
        <f>IFERROR(__xludf.DUMMYFUNCTION("COUNTUNIQUE($B$2:B109)"),108.0)</f>
        <v>108</v>
      </c>
    </row>
    <row r="110" ht="22.5" customHeight="1">
      <c r="A110" s="6" t="s">
        <v>538</v>
      </c>
      <c r="B110" s="6" t="s">
        <v>539</v>
      </c>
      <c r="C110" s="7" t="s">
        <v>540</v>
      </c>
      <c r="D110" s="8">
        <v>1.0</v>
      </c>
      <c r="E110" s="7" t="s">
        <v>14</v>
      </c>
      <c r="F110" s="9">
        <v>46045.0</v>
      </c>
      <c r="G110" s="11">
        <v>0.65625</v>
      </c>
      <c r="H110" s="11">
        <f t="shared" si="1"/>
        <v>0.6666666667</v>
      </c>
      <c r="I110" s="7" t="s">
        <v>541</v>
      </c>
      <c r="J110" s="7" t="s">
        <v>17</v>
      </c>
      <c r="K110" s="7" t="s">
        <v>542</v>
      </c>
      <c r="L110" s="12">
        <f>IFERROR(__xludf.DUMMYFUNCTION("COUNTUNIQUE($B$2:B110)"),109.0)</f>
        <v>109</v>
      </c>
    </row>
    <row r="111" ht="22.5" customHeight="1">
      <c r="A111" s="6" t="s">
        <v>543</v>
      </c>
      <c r="B111" s="6" t="s">
        <v>544</v>
      </c>
      <c r="C111" s="7" t="s">
        <v>545</v>
      </c>
      <c r="D111" s="8">
        <v>1.0</v>
      </c>
      <c r="E111" s="7" t="s">
        <v>14</v>
      </c>
      <c r="F111" s="9">
        <v>46045.0</v>
      </c>
      <c r="G111" s="11">
        <v>0.5833333333333334</v>
      </c>
      <c r="H111" s="11">
        <f t="shared" si="1"/>
        <v>0.59375</v>
      </c>
      <c r="I111" s="7" t="s">
        <v>546</v>
      </c>
      <c r="J111" s="7" t="s">
        <v>17</v>
      </c>
      <c r="K111" s="7" t="s">
        <v>547</v>
      </c>
      <c r="L111" s="12">
        <f>IFERROR(__xludf.DUMMYFUNCTION("COUNTUNIQUE($B$2:B111)"),110.0)</f>
        <v>110</v>
      </c>
    </row>
    <row r="112" ht="22.5" customHeight="1">
      <c r="A112" s="6" t="s">
        <v>548</v>
      </c>
      <c r="B112" s="6" t="s">
        <v>549</v>
      </c>
      <c r="C112" s="7" t="s">
        <v>550</v>
      </c>
      <c r="D112" s="8">
        <v>1.0</v>
      </c>
      <c r="E112" s="7" t="s">
        <v>14</v>
      </c>
      <c r="F112" s="9">
        <v>46045.0</v>
      </c>
      <c r="G112" s="11">
        <v>0.6354166666666666</v>
      </c>
      <c r="H112" s="11">
        <f t="shared" si="1"/>
        <v>0.6458333333</v>
      </c>
      <c r="I112" s="7" t="s">
        <v>551</v>
      </c>
      <c r="J112" s="7" t="s">
        <v>17</v>
      </c>
      <c r="K112" s="7" t="s">
        <v>552</v>
      </c>
      <c r="L112" s="12">
        <f>IFERROR(__xludf.DUMMYFUNCTION("COUNTUNIQUE($B$2:B112)"),111.0)</f>
        <v>111</v>
      </c>
    </row>
    <row r="113" ht="22.5" customHeight="1">
      <c r="A113" s="6" t="s">
        <v>553</v>
      </c>
      <c r="B113" s="6" t="s">
        <v>554</v>
      </c>
      <c r="C113" s="7" t="s">
        <v>555</v>
      </c>
      <c r="D113" s="8">
        <v>2.0</v>
      </c>
      <c r="E113" s="7" t="s">
        <v>14</v>
      </c>
      <c r="F113" s="9">
        <v>46045.0</v>
      </c>
      <c r="G113" s="11">
        <v>0.6041666666666666</v>
      </c>
      <c r="H113" s="11">
        <f t="shared" si="1"/>
        <v>0.6145833333</v>
      </c>
      <c r="I113" s="7" t="s">
        <v>556</v>
      </c>
      <c r="J113" s="7" t="s">
        <v>17</v>
      </c>
      <c r="K113" s="7" t="s">
        <v>557</v>
      </c>
      <c r="L113" s="12">
        <f>IFERROR(__xludf.DUMMYFUNCTION("COUNTUNIQUE($B$2:B113)"),112.0)</f>
        <v>112</v>
      </c>
    </row>
    <row r="114" ht="22.5" customHeight="1">
      <c r="A114" s="6" t="s">
        <v>558</v>
      </c>
      <c r="B114" s="6" t="s">
        <v>559</v>
      </c>
      <c r="C114" s="7" t="s">
        <v>560</v>
      </c>
      <c r="D114" s="8">
        <v>2.0</v>
      </c>
      <c r="E114" s="7" t="s">
        <v>14</v>
      </c>
      <c r="F114" s="9">
        <v>46045.0</v>
      </c>
      <c r="G114" s="11">
        <v>0.6145833333333334</v>
      </c>
      <c r="H114" s="11">
        <f t="shared" si="1"/>
        <v>0.625</v>
      </c>
      <c r="I114" s="7" t="s">
        <v>561</v>
      </c>
      <c r="J114" s="7" t="s">
        <v>17</v>
      </c>
      <c r="K114" s="7" t="s">
        <v>562</v>
      </c>
      <c r="L114" s="12">
        <f>IFERROR(__xludf.DUMMYFUNCTION("COUNTUNIQUE($B$2:B114)"),113.0)</f>
        <v>113</v>
      </c>
    </row>
    <row r="115" ht="22.5" customHeight="1">
      <c r="A115" s="6" t="s">
        <v>563</v>
      </c>
      <c r="B115" s="6" t="s">
        <v>564</v>
      </c>
      <c r="C115" s="7" t="s">
        <v>565</v>
      </c>
      <c r="D115" s="8">
        <v>2.0</v>
      </c>
      <c r="E115" s="7" t="s">
        <v>14</v>
      </c>
      <c r="F115" s="9">
        <v>46045.0</v>
      </c>
      <c r="G115" s="11">
        <v>0.625</v>
      </c>
      <c r="H115" s="11">
        <f t="shared" si="1"/>
        <v>0.6354166667</v>
      </c>
      <c r="I115" s="7" t="s">
        <v>173</v>
      </c>
      <c r="J115" s="7" t="s">
        <v>17</v>
      </c>
      <c r="K115" s="7" t="s">
        <v>566</v>
      </c>
      <c r="L115" s="12">
        <f>IFERROR(__xludf.DUMMYFUNCTION("COUNTUNIQUE($B$2:B115)"),114.0)</f>
        <v>114</v>
      </c>
    </row>
    <row r="116" ht="22.5" customHeight="1">
      <c r="A116" s="6" t="s">
        <v>567</v>
      </c>
      <c r="B116" s="6" t="s">
        <v>568</v>
      </c>
      <c r="C116" s="7" t="s">
        <v>569</v>
      </c>
      <c r="D116" s="8">
        <v>2.0</v>
      </c>
      <c r="E116" s="7" t="s">
        <v>14</v>
      </c>
      <c r="F116" s="9">
        <v>46045.0</v>
      </c>
      <c r="G116" s="11">
        <v>0.6354166666666666</v>
      </c>
      <c r="H116" s="11">
        <f t="shared" si="1"/>
        <v>0.6458333333</v>
      </c>
      <c r="I116" s="7" t="s">
        <v>570</v>
      </c>
      <c r="J116" s="7" t="s">
        <v>17</v>
      </c>
      <c r="K116" s="7" t="s">
        <v>571</v>
      </c>
      <c r="L116" s="12">
        <f>IFERROR(__xludf.DUMMYFUNCTION("COUNTUNIQUE($B$2:B116)"),115.0)</f>
        <v>115</v>
      </c>
    </row>
    <row r="117" ht="22.5" customHeight="1">
      <c r="A117" s="6" t="s">
        <v>572</v>
      </c>
      <c r="B117" s="6" t="s">
        <v>573</v>
      </c>
      <c r="C117" s="7" t="s">
        <v>574</v>
      </c>
      <c r="D117" s="8">
        <v>2.0</v>
      </c>
      <c r="E117" s="7" t="s">
        <v>14</v>
      </c>
      <c r="F117" s="9">
        <v>46045.0</v>
      </c>
      <c r="G117" s="11">
        <v>0.6666666666666666</v>
      </c>
      <c r="H117" s="11">
        <f t="shared" si="1"/>
        <v>0.6770833333</v>
      </c>
      <c r="I117" s="7" t="s">
        <v>575</v>
      </c>
      <c r="J117" s="7" t="s">
        <v>17</v>
      </c>
      <c r="K117" s="7" t="s">
        <v>199</v>
      </c>
      <c r="L117" s="12">
        <f>IFERROR(__xludf.DUMMYFUNCTION("COUNTUNIQUE($B$2:B117)"),116.0)</f>
        <v>116</v>
      </c>
    </row>
    <row r="118" ht="22.5" customHeight="1">
      <c r="A118" s="6" t="s">
        <v>576</v>
      </c>
      <c r="B118" s="6" t="s">
        <v>577</v>
      </c>
      <c r="C118" s="7" t="s">
        <v>578</v>
      </c>
      <c r="D118" s="8">
        <v>2.0</v>
      </c>
      <c r="E118" s="7" t="s">
        <v>14</v>
      </c>
      <c r="F118" s="9">
        <v>46045.0</v>
      </c>
      <c r="G118" s="11">
        <v>0.6875</v>
      </c>
      <c r="H118" s="11">
        <f t="shared" si="1"/>
        <v>0.6979166667</v>
      </c>
      <c r="I118" s="7" t="s">
        <v>510</v>
      </c>
      <c r="J118" s="7" t="s">
        <v>17</v>
      </c>
      <c r="K118" s="7" t="s">
        <v>199</v>
      </c>
      <c r="L118" s="12">
        <f>IFERROR(__xludf.DUMMYFUNCTION("COUNTUNIQUE($B$2:B118)"),117.0)</f>
        <v>117</v>
      </c>
    </row>
    <row r="119" ht="22.5" customHeight="1">
      <c r="A119" s="6" t="s">
        <v>579</v>
      </c>
      <c r="B119" s="6" t="s">
        <v>580</v>
      </c>
      <c r="C119" s="7" t="s">
        <v>581</v>
      </c>
      <c r="D119" s="8">
        <v>2.0</v>
      </c>
      <c r="E119" s="7" t="s">
        <v>14</v>
      </c>
      <c r="F119" s="9">
        <v>46045.0</v>
      </c>
      <c r="G119" s="11">
        <v>0.6979166666666666</v>
      </c>
      <c r="H119" s="11">
        <f t="shared" si="1"/>
        <v>0.7083333333</v>
      </c>
      <c r="I119" s="7" t="s">
        <v>582</v>
      </c>
      <c r="J119" s="7" t="s">
        <v>17</v>
      </c>
      <c r="K119" s="7" t="s">
        <v>583</v>
      </c>
      <c r="L119" s="12">
        <f>IFERROR(__xludf.DUMMYFUNCTION("COUNTUNIQUE($B$2:B119)"),118.0)</f>
        <v>118</v>
      </c>
    </row>
    <row r="120" ht="22.5" customHeight="1">
      <c r="A120" s="6" t="s">
        <v>584</v>
      </c>
      <c r="B120" s="6" t="s">
        <v>585</v>
      </c>
      <c r="C120" s="7" t="s">
        <v>586</v>
      </c>
      <c r="D120" s="8">
        <v>2.0</v>
      </c>
      <c r="E120" s="7" t="s">
        <v>14</v>
      </c>
      <c r="F120" s="9">
        <v>46045.0</v>
      </c>
      <c r="G120" s="11">
        <v>0.7083333333333334</v>
      </c>
      <c r="H120" s="11">
        <f t="shared" si="1"/>
        <v>0.71875</v>
      </c>
      <c r="I120" s="7" t="s">
        <v>587</v>
      </c>
      <c r="J120" s="7" t="s">
        <v>17</v>
      </c>
      <c r="K120" s="7" t="s">
        <v>588</v>
      </c>
      <c r="L120" s="12">
        <f>IFERROR(__xludf.DUMMYFUNCTION("COUNTUNIQUE($B$2:B120)"),119.0)</f>
        <v>119</v>
      </c>
    </row>
    <row r="121" ht="22.5" customHeight="1">
      <c r="A121" s="6" t="s">
        <v>589</v>
      </c>
      <c r="B121" s="6" t="s">
        <v>590</v>
      </c>
      <c r="C121" s="7" t="s">
        <v>591</v>
      </c>
      <c r="D121" s="8">
        <v>2.0</v>
      </c>
      <c r="E121" s="7" t="s">
        <v>14</v>
      </c>
      <c r="F121" s="9">
        <v>46045.0</v>
      </c>
      <c r="G121" s="11">
        <v>0.71875</v>
      </c>
      <c r="H121" s="11">
        <f t="shared" si="1"/>
        <v>0.7291666667</v>
      </c>
      <c r="I121" s="7" t="s">
        <v>592</v>
      </c>
      <c r="J121" s="7" t="s">
        <v>17</v>
      </c>
      <c r="K121" s="7" t="s">
        <v>593</v>
      </c>
      <c r="L121" s="12">
        <f>IFERROR(__xludf.DUMMYFUNCTION("COUNTUNIQUE($B$2:B121)"),120.0)</f>
        <v>120</v>
      </c>
    </row>
    <row r="122" ht="22.5" customHeight="1">
      <c r="A122" s="6" t="s">
        <v>594</v>
      </c>
      <c r="B122" s="6" t="s">
        <v>595</v>
      </c>
      <c r="C122" s="7" t="s">
        <v>596</v>
      </c>
      <c r="D122" s="8">
        <v>2.0</v>
      </c>
      <c r="E122" s="7" t="s">
        <v>14</v>
      </c>
      <c r="F122" s="9">
        <v>46045.0</v>
      </c>
      <c r="G122" s="11">
        <v>0.7291666666666666</v>
      </c>
      <c r="H122" s="11">
        <f t="shared" si="1"/>
        <v>0.7395833333</v>
      </c>
      <c r="I122" s="7" t="s">
        <v>597</v>
      </c>
      <c r="J122" s="7" t="s">
        <v>17</v>
      </c>
      <c r="K122" s="7" t="s">
        <v>598</v>
      </c>
      <c r="L122" s="12">
        <f>IFERROR(__xludf.DUMMYFUNCTION("COUNTUNIQUE($B$2:B122)"),121.0)</f>
        <v>121</v>
      </c>
    </row>
    <row r="123" ht="22.5" customHeight="1">
      <c r="A123" s="6" t="s">
        <v>599</v>
      </c>
      <c r="B123" s="6" t="s">
        <v>600</v>
      </c>
      <c r="C123" s="7" t="s">
        <v>601</v>
      </c>
      <c r="D123" s="8">
        <v>2.0</v>
      </c>
      <c r="E123" s="7" t="s">
        <v>14</v>
      </c>
      <c r="F123" s="9">
        <v>46045.0</v>
      </c>
      <c r="G123" s="11">
        <v>0.59375</v>
      </c>
      <c r="H123" s="11">
        <f t="shared" si="1"/>
        <v>0.6041666667</v>
      </c>
      <c r="I123" s="7" t="s">
        <v>602</v>
      </c>
      <c r="J123" s="7" t="s">
        <v>17</v>
      </c>
      <c r="K123" s="7" t="s">
        <v>603</v>
      </c>
      <c r="L123" s="12">
        <f>IFERROR(__xludf.DUMMYFUNCTION("COUNTUNIQUE($B$2:B123)"),122.0)</f>
        <v>122</v>
      </c>
    </row>
    <row r="124" ht="22.5" customHeight="1">
      <c r="A124" s="6" t="s">
        <v>604</v>
      </c>
      <c r="B124" s="6" t="s">
        <v>605</v>
      </c>
      <c r="C124" s="7" t="s">
        <v>606</v>
      </c>
      <c r="D124" s="8">
        <v>2.0</v>
      </c>
      <c r="E124" s="7" t="s">
        <v>14</v>
      </c>
      <c r="F124" s="9">
        <v>46045.0</v>
      </c>
      <c r="G124" s="11">
        <v>0.7708333333333334</v>
      </c>
      <c r="H124" s="11">
        <f t="shared" si="1"/>
        <v>0.78125</v>
      </c>
      <c r="I124" s="7" t="s">
        <v>607</v>
      </c>
      <c r="J124" s="7" t="s">
        <v>17</v>
      </c>
      <c r="K124" s="7" t="s">
        <v>608</v>
      </c>
      <c r="L124" s="12">
        <f>IFERROR(__xludf.DUMMYFUNCTION("COUNTUNIQUE($B$2:B124)"),123.0)</f>
        <v>123</v>
      </c>
    </row>
    <row r="125" ht="22.5" customHeight="1">
      <c r="A125" s="6" t="s">
        <v>609</v>
      </c>
      <c r="B125" s="6" t="s">
        <v>610</v>
      </c>
      <c r="C125" s="7" t="s">
        <v>611</v>
      </c>
      <c r="D125" s="8">
        <v>2.0</v>
      </c>
      <c r="E125" s="7" t="s">
        <v>14</v>
      </c>
      <c r="F125" s="9">
        <v>46045.0</v>
      </c>
      <c r="G125" s="11">
        <v>0.78125</v>
      </c>
      <c r="H125" s="11">
        <f t="shared" si="1"/>
        <v>0.7916666667</v>
      </c>
      <c r="I125" s="7" t="s">
        <v>612</v>
      </c>
      <c r="J125" s="7" t="s">
        <v>17</v>
      </c>
      <c r="K125" s="7" t="s">
        <v>613</v>
      </c>
      <c r="L125" s="12">
        <f>IFERROR(__xludf.DUMMYFUNCTION("COUNTUNIQUE($B$2:B125)"),124.0)</f>
        <v>124</v>
      </c>
    </row>
    <row r="126" ht="22.5" customHeight="1">
      <c r="A126" s="6" t="s">
        <v>614</v>
      </c>
      <c r="B126" s="6" t="s">
        <v>615</v>
      </c>
      <c r="C126" s="7" t="s">
        <v>616</v>
      </c>
      <c r="D126" s="8">
        <v>2.0</v>
      </c>
      <c r="E126" s="7" t="s">
        <v>14</v>
      </c>
      <c r="F126" s="9">
        <v>46045.0</v>
      </c>
      <c r="G126" s="11">
        <v>0.7916666666666666</v>
      </c>
      <c r="H126" s="11">
        <f t="shared" si="1"/>
        <v>0.8020833333</v>
      </c>
      <c r="I126" s="7" t="s">
        <v>617</v>
      </c>
      <c r="J126" s="7" t="s">
        <v>17</v>
      </c>
      <c r="K126" s="7" t="s">
        <v>618</v>
      </c>
      <c r="L126" s="12">
        <f>IFERROR(__xludf.DUMMYFUNCTION("COUNTUNIQUE($B$2:B126)"),125.0)</f>
        <v>125</v>
      </c>
    </row>
    <row r="127" ht="22.5" customHeight="1">
      <c r="A127" s="6" t="s">
        <v>619</v>
      </c>
      <c r="B127" s="6" t="s">
        <v>620</v>
      </c>
      <c r="C127" s="7" t="s">
        <v>621</v>
      </c>
      <c r="D127" s="8">
        <v>2.0</v>
      </c>
      <c r="E127" s="7" t="s">
        <v>14</v>
      </c>
      <c r="F127" s="9">
        <v>46045.0</v>
      </c>
      <c r="G127" s="11">
        <v>0.8020833333333334</v>
      </c>
      <c r="H127" s="11">
        <f t="shared" si="1"/>
        <v>0.8125</v>
      </c>
      <c r="I127" s="7" t="s">
        <v>622</v>
      </c>
      <c r="J127" s="7" t="s">
        <v>17</v>
      </c>
      <c r="K127" s="7" t="s">
        <v>623</v>
      </c>
      <c r="L127" s="12">
        <f>IFERROR(__xludf.DUMMYFUNCTION("COUNTUNIQUE($B$2:B127)"),126.0)</f>
        <v>126</v>
      </c>
    </row>
    <row r="128" ht="22.5" customHeight="1">
      <c r="A128" s="6" t="s">
        <v>624</v>
      </c>
      <c r="B128" s="6" t="s">
        <v>625</v>
      </c>
      <c r="C128" s="7" t="s">
        <v>626</v>
      </c>
      <c r="D128" s="8">
        <v>2.0</v>
      </c>
      <c r="E128" s="7" t="s">
        <v>14</v>
      </c>
      <c r="F128" s="9">
        <v>46045.0</v>
      </c>
      <c r="G128" s="11">
        <v>0.8125</v>
      </c>
      <c r="H128" s="11">
        <f t="shared" si="1"/>
        <v>0.8229166667</v>
      </c>
      <c r="I128" s="7" t="s">
        <v>627</v>
      </c>
      <c r="J128" s="7" t="s">
        <v>17</v>
      </c>
      <c r="K128" s="7" t="s">
        <v>628</v>
      </c>
      <c r="L128" s="12">
        <f>IFERROR(__xludf.DUMMYFUNCTION("COUNTUNIQUE($B$2:B128)"),127.0)</f>
        <v>127</v>
      </c>
    </row>
    <row r="129" ht="22.5" customHeight="1">
      <c r="A129" s="6" t="s">
        <v>629</v>
      </c>
      <c r="B129" s="6" t="s">
        <v>630</v>
      </c>
      <c r="C129" s="7" t="s">
        <v>631</v>
      </c>
      <c r="D129" s="8">
        <v>2.0</v>
      </c>
      <c r="E129" s="7" t="s">
        <v>14</v>
      </c>
      <c r="F129" s="9">
        <v>46045.0</v>
      </c>
      <c r="G129" s="11">
        <v>0.7395833333333334</v>
      </c>
      <c r="H129" s="11">
        <f t="shared" si="1"/>
        <v>0.75</v>
      </c>
      <c r="I129" s="7" t="s">
        <v>632</v>
      </c>
      <c r="J129" s="7" t="s">
        <v>17</v>
      </c>
      <c r="K129" s="7" t="s">
        <v>633</v>
      </c>
      <c r="L129" s="12">
        <f>IFERROR(__xludf.DUMMYFUNCTION("COUNTUNIQUE($B$2:B129)"),128.0)</f>
        <v>128</v>
      </c>
    </row>
    <row r="130" ht="22.5" customHeight="1">
      <c r="A130" s="6" t="s">
        <v>634</v>
      </c>
      <c r="B130" s="6" t="s">
        <v>635</v>
      </c>
      <c r="C130" s="7" t="s">
        <v>636</v>
      </c>
      <c r="D130" s="8">
        <v>4.0</v>
      </c>
      <c r="E130" s="7" t="s">
        <v>14</v>
      </c>
      <c r="F130" s="9">
        <v>46045.0</v>
      </c>
      <c r="G130" s="11">
        <v>0.5833333333333334</v>
      </c>
      <c r="H130" s="11">
        <f t="shared" si="1"/>
        <v>0.59375</v>
      </c>
      <c r="I130" s="7" t="s">
        <v>637</v>
      </c>
      <c r="J130" s="7" t="s">
        <v>17</v>
      </c>
      <c r="K130" s="7" t="s">
        <v>638</v>
      </c>
      <c r="L130" s="12">
        <f>IFERROR(__xludf.DUMMYFUNCTION("COUNTUNIQUE($B$2:B130)"),129.0)</f>
        <v>129</v>
      </c>
    </row>
    <row r="131" ht="22.5" customHeight="1">
      <c r="A131" s="6" t="s">
        <v>639</v>
      </c>
      <c r="B131" s="6" t="s">
        <v>640</v>
      </c>
      <c r="C131" s="7" t="s">
        <v>641</v>
      </c>
      <c r="D131" s="8">
        <v>4.0</v>
      </c>
      <c r="E131" s="7" t="s">
        <v>14</v>
      </c>
      <c r="F131" s="9">
        <v>46045.0</v>
      </c>
      <c r="G131" s="11">
        <v>0.71875</v>
      </c>
      <c r="H131" s="11">
        <f t="shared" si="1"/>
        <v>0.7291666667</v>
      </c>
      <c r="I131" s="7" t="s">
        <v>642</v>
      </c>
      <c r="J131" s="7" t="s">
        <v>17</v>
      </c>
      <c r="K131" s="7" t="s">
        <v>643</v>
      </c>
      <c r="L131" s="12">
        <f>IFERROR(__xludf.DUMMYFUNCTION("COUNTUNIQUE($B$2:B131)"),130.0)</f>
        <v>130</v>
      </c>
    </row>
    <row r="132" ht="22.5" customHeight="1">
      <c r="A132" s="6" t="s">
        <v>644</v>
      </c>
      <c r="B132" s="6" t="s">
        <v>645</v>
      </c>
      <c r="C132" s="7" t="s">
        <v>646</v>
      </c>
      <c r="D132" s="8">
        <v>3.0</v>
      </c>
      <c r="E132" s="7" t="s">
        <v>14</v>
      </c>
      <c r="F132" s="9">
        <v>46045.0</v>
      </c>
      <c r="G132" s="11">
        <v>0.6770833333333334</v>
      </c>
      <c r="H132" s="11">
        <f t="shared" si="1"/>
        <v>0.6875</v>
      </c>
      <c r="I132" s="7" t="s">
        <v>647</v>
      </c>
      <c r="J132" s="7" t="s">
        <v>17</v>
      </c>
      <c r="K132" s="7" t="s">
        <v>648</v>
      </c>
      <c r="L132" s="12">
        <f>IFERROR(__xludf.DUMMYFUNCTION("COUNTUNIQUE($B$2:B132)"),131.0)</f>
        <v>131</v>
      </c>
    </row>
    <row r="133" ht="22.5" customHeight="1">
      <c r="A133" s="6" t="s">
        <v>649</v>
      </c>
      <c r="B133" s="6" t="s">
        <v>650</v>
      </c>
      <c r="C133" s="7" t="s">
        <v>651</v>
      </c>
      <c r="D133" s="8">
        <v>3.0</v>
      </c>
      <c r="E133" s="7" t="s">
        <v>14</v>
      </c>
      <c r="F133" s="9">
        <v>46045.0</v>
      </c>
      <c r="G133" s="11">
        <v>0.6041666666666666</v>
      </c>
      <c r="H133" s="11">
        <f t="shared" si="1"/>
        <v>0.6145833333</v>
      </c>
      <c r="I133" s="7" t="s">
        <v>140</v>
      </c>
      <c r="J133" s="7" t="s">
        <v>17</v>
      </c>
      <c r="K133" s="7" t="s">
        <v>652</v>
      </c>
      <c r="L133" s="12">
        <f>IFERROR(__xludf.DUMMYFUNCTION("COUNTUNIQUE($B$2:B133)"),132.0)</f>
        <v>132</v>
      </c>
    </row>
    <row r="134" ht="22.5" customHeight="1">
      <c r="A134" s="6" t="s">
        <v>653</v>
      </c>
      <c r="B134" s="6" t="s">
        <v>654</v>
      </c>
      <c r="C134" s="7" t="s">
        <v>655</v>
      </c>
      <c r="D134" s="8">
        <v>3.0</v>
      </c>
      <c r="E134" s="7" t="s">
        <v>14</v>
      </c>
      <c r="F134" s="9">
        <v>46045.0</v>
      </c>
      <c r="G134" s="11">
        <v>0.59375</v>
      </c>
      <c r="H134" s="11">
        <f t="shared" si="1"/>
        <v>0.6041666667</v>
      </c>
      <c r="I134" s="7" t="s">
        <v>656</v>
      </c>
      <c r="J134" s="7" t="s">
        <v>17</v>
      </c>
      <c r="K134" s="7" t="s">
        <v>657</v>
      </c>
      <c r="L134" s="12">
        <f>IFERROR(__xludf.DUMMYFUNCTION("COUNTUNIQUE($B$2:B134)"),133.0)</f>
        <v>133</v>
      </c>
    </row>
    <row r="135" ht="22.5" customHeight="1">
      <c r="A135" s="6" t="s">
        <v>658</v>
      </c>
      <c r="B135" s="6" t="s">
        <v>659</v>
      </c>
      <c r="C135" s="7" t="s">
        <v>660</v>
      </c>
      <c r="D135" s="8">
        <v>3.0</v>
      </c>
      <c r="E135" s="7" t="s">
        <v>14</v>
      </c>
      <c r="F135" s="9">
        <v>46045.0</v>
      </c>
      <c r="G135" s="11">
        <v>0.5833333333333334</v>
      </c>
      <c r="H135" s="11">
        <f t="shared" si="1"/>
        <v>0.59375</v>
      </c>
      <c r="I135" s="7" t="s">
        <v>661</v>
      </c>
      <c r="J135" s="7" t="s">
        <v>17</v>
      </c>
      <c r="K135" s="7" t="s">
        <v>662</v>
      </c>
      <c r="L135" s="12">
        <f>IFERROR(__xludf.DUMMYFUNCTION("COUNTUNIQUE($B$2:B135)"),134.0)</f>
        <v>134</v>
      </c>
    </row>
    <row r="136" ht="22.5" customHeight="1">
      <c r="A136" s="6" t="s">
        <v>663</v>
      </c>
      <c r="B136" s="6" t="s">
        <v>664</v>
      </c>
      <c r="C136" s="7" t="s">
        <v>665</v>
      </c>
      <c r="D136" s="8">
        <v>4.0</v>
      </c>
      <c r="E136" s="7" t="s">
        <v>14</v>
      </c>
      <c r="F136" s="9">
        <v>46045.0</v>
      </c>
      <c r="G136" s="11">
        <v>0.6145833333333334</v>
      </c>
      <c r="H136" s="11">
        <f t="shared" si="1"/>
        <v>0.625</v>
      </c>
      <c r="I136" s="7" t="s">
        <v>198</v>
      </c>
      <c r="J136" s="7" t="s">
        <v>17</v>
      </c>
      <c r="K136" s="7" t="s">
        <v>666</v>
      </c>
      <c r="L136" s="12">
        <f>IFERROR(__xludf.DUMMYFUNCTION("COUNTUNIQUE($B$2:B136)"),135.0)</f>
        <v>135</v>
      </c>
    </row>
    <row r="137" ht="22.5" customHeight="1">
      <c r="A137" s="6" t="s">
        <v>667</v>
      </c>
      <c r="B137" s="6" t="s">
        <v>668</v>
      </c>
      <c r="C137" s="7" t="s">
        <v>669</v>
      </c>
      <c r="D137" s="8">
        <v>4.0</v>
      </c>
      <c r="E137" s="7" t="s">
        <v>14</v>
      </c>
      <c r="F137" s="9">
        <v>46045.0</v>
      </c>
      <c r="G137" s="11">
        <v>0.6666666666666666</v>
      </c>
      <c r="H137" s="11">
        <f t="shared" si="1"/>
        <v>0.6770833333</v>
      </c>
      <c r="I137" s="7" t="s">
        <v>612</v>
      </c>
      <c r="J137" s="7" t="s">
        <v>17</v>
      </c>
      <c r="K137" s="7" t="s">
        <v>670</v>
      </c>
      <c r="L137" s="12">
        <f>IFERROR(__xludf.DUMMYFUNCTION("COUNTUNIQUE($B$2:B137)"),136.0)</f>
        <v>136</v>
      </c>
    </row>
    <row r="138" ht="22.5" customHeight="1">
      <c r="A138" s="6" t="s">
        <v>671</v>
      </c>
      <c r="B138" s="6" t="s">
        <v>672</v>
      </c>
      <c r="C138" s="7" t="s">
        <v>673</v>
      </c>
      <c r="D138" s="8">
        <v>3.0</v>
      </c>
      <c r="E138" s="7" t="s">
        <v>14</v>
      </c>
      <c r="F138" s="9">
        <v>46045.0</v>
      </c>
      <c r="G138" s="11">
        <v>0.7395833333333334</v>
      </c>
      <c r="H138" s="11">
        <f t="shared" si="1"/>
        <v>0.75</v>
      </c>
      <c r="I138" s="7" t="s">
        <v>120</v>
      </c>
      <c r="J138" s="7" t="s">
        <v>17</v>
      </c>
      <c r="K138" s="7" t="s">
        <v>399</v>
      </c>
      <c r="L138" s="12">
        <f>IFERROR(__xludf.DUMMYFUNCTION("COUNTUNIQUE($B$2:B138)"),137.0)</f>
        <v>137</v>
      </c>
    </row>
    <row r="139" ht="22.5" customHeight="1">
      <c r="A139" s="6" t="s">
        <v>674</v>
      </c>
      <c r="B139" s="6" t="s">
        <v>675</v>
      </c>
      <c r="C139" s="7" t="s">
        <v>676</v>
      </c>
      <c r="D139" s="8">
        <v>3.0</v>
      </c>
      <c r="E139" s="7" t="s">
        <v>14</v>
      </c>
      <c r="F139" s="9">
        <v>46045.0</v>
      </c>
      <c r="G139" s="11">
        <v>0.625</v>
      </c>
      <c r="H139" s="11">
        <f t="shared" si="1"/>
        <v>0.6354166667</v>
      </c>
      <c r="I139" s="7" t="s">
        <v>120</v>
      </c>
      <c r="J139" s="7" t="s">
        <v>17</v>
      </c>
      <c r="K139" s="7" t="s">
        <v>677</v>
      </c>
      <c r="L139" s="12">
        <f>IFERROR(__xludf.DUMMYFUNCTION("COUNTUNIQUE($B$2:B139)"),138.0)</f>
        <v>138</v>
      </c>
    </row>
    <row r="140" ht="22.5" customHeight="1">
      <c r="A140" s="6" t="s">
        <v>678</v>
      </c>
      <c r="B140" s="6" t="s">
        <v>679</v>
      </c>
      <c r="C140" s="7" t="s">
        <v>680</v>
      </c>
      <c r="D140" s="8">
        <v>3.0</v>
      </c>
      <c r="E140" s="7" t="s">
        <v>14</v>
      </c>
      <c r="F140" s="9">
        <v>46045.0</v>
      </c>
      <c r="G140" s="11">
        <v>0.6354166666666666</v>
      </c>
      <c r="H140" s="11">
        <f t="shared" si="1"/>
        <v>0.6458333333</v>
      </c>
      <c r="I140" s="7" t="s">
        <v>198</v>
      </c>
      <c r="J140" s="7" t="s">
        <v>17</v>
      </c>
      <c r="K140" s="7" t="s">
        <v>681</v>
      </c>
      <c r="L140" s="12">
        <f>IFERROR(__xludf.DUMMYFUNCTION("COUNTUNIQUE($B$2:B140)"),139.0)</f>
        <v>139</v>
      </c>
    </row>
    <row r="141" ht="22.5" customHeight="1">
      <c r="A141" s="6" t="s">
        <v>682</v>
      </c>
      <c r="B141" s="6" t="s">
        <v>683</v>
      </c>
      <c r="C141" s="7" t="s">
        <v>684</v>
      </c>
      <c r="D141" s="8">
        <v>4.0</v>
      </c>
      <c r="E141" s="7" t="s">
        <v>14</v>
      </c>
      <c r="F141" s="9">
        <v>46045.0</v>
      </c>
      <c r="G141" s="11">
        <v>0.625</v>
      </c>
      <c r="H141" s="11">
        <f t="shared" si="1"/>
        <v>0.6354166667</v>
      </c>
      <c r="I141" s="7" t="s">
        <v>685</v>
      </c>
      <c r="J141" s="7" t="s">
        <v>17</v>
      </c>
      <c r="K141" s="7" t="s">
        <v>686</v>
      </c>
      <c r="L141" s="12">
        <f>IFERROR(__xludf.DUMMYFUNCTION("COUNTUNIQUE($B$2:B141)"),140.0)</f>
        <v>140</v>
      </c>
    </row>
    <row r="142" ht="22.5" customHeight="1">
      <c r="A142" s="6" t="s">
        <v>687</v>
      </c>
      <c r="B142" s="6" t="s">
        <v>688</v>
      </c>
      <c r="C142" s="7" t="s">
        <v>689</v>
      </c>
      <c r="D142" s="8">
        <v>2.0</v>
      </c>
      <c r="E142" s="7" t="s">
        <v>14</v>
      </c>
      <c r="F142" s="9">
        <v>46045.0</v>
      </c>
      <c r="G142" s="11">
        <v>0.5833333333333334</v>
      </c>
      <c r="H142" s="11">
        <f t="shared" si="1"/>
        <v>0.59375</v>
      </c>
      <c r="I142" s="7" t="s">
        <v>690</v>
      </c>
      <c r="J142" s="7" t="s">
        <v>17</v>
      </c>
      <c r="K142" s="7" t="s">
        <v>691</v>
      </c>
      <c r="L142" s="12">
        <f>IFERROR(__xludf.DUMMYFUNCTION("COUNTUNIQUE($B$2:B142)"),141.0)</f>
        <v>141</v>
      </c>
    </row>
    <row r="143" ht="22.5" customHeight="1">
      <c r="A143" s="6" t="s">
        <v>692</v>
      </c>
      <c r="B143" s="6" t="s">
        <v>693</v>
      </c>
      <c r="C143" s="7" t="s">
        <v>694</v>
      </c>
      <c r="D143" s="8">
        <v>3.0</v>
      </c>
      <c r="E143" s="7" t="s">
        <v>14</v>
      </c>
      <c r="F143" s="9">
        <v>46045.0</v>
      </c>
      <c r="G143" s="11">
        <v>0.71875</v>
      </c>
      <c r="H143" s="11">
        <f t="shared" si="1"/>
        <v>0.7291666667</v>
      </c>
      <c r="I143" s="7" t="s">
        <v>695</v>
      </c>
      <c r="J143" s="7" t="s">
        <v>17</v>
      </c>
      <c r="K143" s="7" t="s">
        <v>151</v>
      </c>
      <c r="L143" s="12">
        <f>IFERROR(__xludf.DUMMYFUNCTION("COUNTUNIQUE($B$2:B143)"),142.0)</f>
        <v>142</v>
      </c>
    </row>
    <row r="144" ht="22.5" customHeight="1">
      <c r="A144" s="6" t="s">
        <v>696</v>
      </c>
      <c r="B144" s="6" t="s">
        <v>697</v>
      </c>
      <c r="C144" s="7" t="s">
        <v>698</v>
      </c>
      <c r="D144" s="8">
        <v>2.0</v>
      </c>
      <c r="E144" s="7" t="s">
        <v>14</v>
      </c>
      <c r="F144" s="9">
        <v>46045.0</v>
      </c>
      <c r="G144" s="11">
        <v>0.6770833333333334</v>
      </c>
      <c r="H144" s="11">
        <f t="shared" si="1"/>
        <v>0.6875</v>
      </c>
      <c r="I144" s="7" t="s">
        <v>140</v>
      </c>
      <c r="J144" s="7" t="s">
        <v>17</v>
      </c>
      <c r="K144" s="7" t="s">
        <v>699</v>
      </c>
      <c r="L144" s="12">
        <f>IFERROR(__xludf.DUMMYFUNCTION("COUNTUNIQUE($B$2:B144)"),143.0)</f>
        <v>143</v>
      </c>
    </row>
    <row r="145" ht="22.5" customHeight="1">
      <c r="A145" s="6" t="s">
        <v>700</v>
      </c>
      <c r="B145" s="6" t="s">
        <v>701</v>
      </c>
      <c r="C145" s="7" t="s">
        <v>702</v>
      </c>
      <c r="D145" s="8">
        <v>3.0</v>
      </c>
      <c r="E145" s="7" t="s">
        <v>14</v>
      </c>
      <c r="F145" s="9">
        <v>46045.0</v>
      </c>
      <c r="G145" s="11">
        <v>0.6875</v>
      </c>
      <c r="H145" s="11">
        <f t="shared" si="1"/>
        <v>0.6979166667</v>
      </c>
      <c r="I145" s="7" t="s">
        <v>703</v>
      </c>
      <c r="J145" s="7" t="s">
        <v>17</v>
      </c>
      <c r="K145" s="7" t="s">
        <v>704</v>
      </c>
      <c r="L145" s="12">
        <f>IFERROR(__xludf.DUMMYFUNCTION("COUNTUNIQUE($B$2:B145)"),144.0)</f>
        <v>144</v>
      </c>
    </row>
    <row r="146" ht="22.5" customHeight="1">
      <c r="A146" s="6" t="s">
        <v>705</v>
      </c>
      <c r="B146" s="6" t="s">
        <v>706</v>
      </c>
      <c r="C146" s="7" t="s">
        <v>707</v>
      </c>
      <c r="D146" s="8">
        <v>3.0</v>
      </c>
      <c r="E146" s="7" t="s">
        <v>14</v>
      </c>
      <c r="F146" s="9">
        <v>46045.0</v>
      </c>
      <c r="G146" s="11">
        <v>0.6979166666666666</v>
      </c>
      <c r="H146" s="11">
        <f t="shared" si="1"/>
        <v>0.7083333333</v>
      </c>
      <c r="I146" s="7" t="s">
        <v>16</v>
      </c>
      <c r="J146" s="7" t="s">
        <v>17</v>
      </c>
      <c r="K146" s="7" t="s">
        <v>708</v>
      </c>
      <c r="L146" s="12">
        <f>IFERROR(__xludf.DUMMYFUNCTION("COUNTUNIQUE($B$2:B146)"),145.0)</f>
        <v>145</v>
      </c>
    </row>
    <row r="147" ht="22.5" customHeight="1">
      <c r="A147" s="6" t="s">
        <v>709</v>
      </c>
      <c r="B147" s="6" t="s">
        <v>710</v>
      </c>
      <c r="C147" s="7" t="s">
        <v>711</v>
      </c>
      <c r="D147" s="8">
        <v>4.0</v>
      </c>
      <c r="E147" s="7" t="s">
        <v>14</v>
      </c>
      <c r="F147" s="9">
        <v>46045.0</v>
      </c>
      <c r="G147" s="11">
        <v>0.7291666666666666</v>
      </c>
      <c r="H147" s="11">
        <f t="shared" si="1"/>
        <v>0.7395833333</v>
      </c>
      <c r="I147" s="7" t="s">
        <v>510</v>
      </c>
      <c r="J147" s="7" t="s">
        <v>17</v>
      </c>
      <c r="K147" s="7" t="s">
        <v>712</v>
      </c>
      <c r="L147" s="12">
        <f>IFERROR(__xludf.DUMMYFUNCTION("COUNTUNIQUE($B$2:B147)"),146.0)</f>
        <v>146</v>
      </c>
    </row>
    <row r="148" ht="22.5" customHeight="1">
      <c r="A148" s="6" t="s">
        <v>713</v>
      </c>
      <c r="B148" s="6" t="s">
        <v>714</v>
      </c>
      <c r="C148" s="7" t="s">
        <v>715</v>
      </c>
      <c r="D148" s="8">
        <v>3.0</v>
      </c>
      <c r="E148" s="7" t="s">
        <v>14</v>
      </c>
      <c r="F148" s="9">
        <v>46045.0</v>
      </c>
      <c r="G148" s="11">
        <v>0.6145833333333334</v>
      </c>
      <c r="H148" s="11">
        <f t="shared" si="1"/>
        <v>0.625</v>
      </c>
      <c r="I148" s="7" t="s">
        <v>198</v>
      </c>
      <c r="J148" s="7" t="s">
        <v>17</v>
      </c>
      <c r="K148" s="7" t="s">
        <v>716</v>
      </c>
      <c r="L148" s="12">
        <f>IFERROR(__xludf.DUMMYFUNCTION("COUNTUNIQUE($B$2:B148)"),147.0)</f>
        <v>147</v>
      </c>
    </row>
    <row r="149" ht="22.5" customHeight="1">
      <c r="A149" s="6" t="s">
        <v>717</v>
      </c>
      <c r="B149" s="6" t="s">
        <v>718</v>
      </c>
      <c r="C149" s="7" t="s">
        <v>719</v>
      </c>
      <c r="D149" s="8">
        <v>4.0</v>
      </c>
      <c r="E149" s="7" t="s">
        <v>14</v>
      </c>
      <c r="F149" s="9">
        <v>46045.0</v>
      </c>
      <c r="G149" s="11">
        <v>0.6041666666666666</v>
      </c>
      <c r="H149" s="11">
        <f t="shared" si="1"/>
        <v>0.6145833333</v>
      </c>
      <c r="I149" s="7" t="s">
        <v>720</v>
      </c>
      <c r="J149" s="7" t="s">
        <v>17</v>
      </c>
      <c r="K149" s="7" t="s">
        <v>721</v>
      </c>
      <c r="L149" s="12">
        <f>IFERROR(__xludf.DUMMYFUNCTION("COUNTUNIQUE($B$2:B149)"),148.0)</f>
        <v>148</v>
      </c>
    </row>
    <row r="150" ht="22.5" customHeight="1">
      <c r="A150" s="13" t="s">
        <v>722</v>
      </c>
      <c r="B150" s="13" t="s">
        <v>723</v>
      </c>
      <c r="C150" s="14" t="s">
        <v>724</v>
      </c>
      <c r="D150" s="8">
        <v>1.0</v>
      </c>
      <c r="E150" s="7" t="s">
        <v>14</v>
      </c>
      <c r="F150" s="9">
        <v>46044.0</v>
      </c>
      <c r="G150" s="15">
        <v>0.5729166666666666</v>
      </c>
      <c r="H150" s="11">
        <f t="shared" si="1"/>
        <v>0.5833333333</v>
      </c>
      <c r="I150" s="6" t="s">
        <v>725</v>
      </c>
      <c r="J150" s="7" t="s">
        <v>17</v>
      </c>
      <c r="K150" s="13" t="s">
        <v>726</v>
      </c>
      <c r="L150" s="12">
        <f>IFERROR(__xludf.DUMMYFUNCTION("COUNTUNIQUE($B$2:B150)"),149.0)</f>
        <v>149</v>
      </c>
    </row>
    <row r="151" ht="22.5" customHeight="1">
      <c r="A151" s="13" t="s">
        <v>727</v>
      </c>
      <c r="B151" s="13" t="s">
        <v>728</v>
      </c>
      <c r="C151" s="14" t="s">
        <v>729</v>
      </c>
      <c r="D151" s="8">
        <v>2.0</v>
      </c>
      <c r="E151" s="7" t="s">
        <v>14</v>
      </c>
      <c r="F151" s="9">
        <v>46044.0</v>
      </c>
      <c r="G151" s="15">
        <v>0.6145833333333334</v>
      </c>
      <c r="H151" s="11">
        <f t="shared" si="1"/>
        <v>0.625</v>
      </c>
      <c r="I151" s="16" t="s">
        <v>730</v>
      </c>
      <c r="J151" s="7" t="s">
        <v>17</v>
      </c>
      <c r="K151" s="13" t="s">
        <v>731</v>
      </c>
      <c r="L151" s="12">
        <f>IFERROR(__xludf.DUMMYFUNCTION("COUNTUNIQUE($B$2:B151)"),150.0)</f>
        <v>150</v>
      </c>
    </row>
    <row r="152" ht="22.5" customHeight="1">
      <c r="A152" s="13" t="s">
        <v>732</v>
      </c>
      <c r="B152" s="13" t="s">
        <v>733</v>
      </c>
      <c r="C152" s="14" t="s">
        <v>734</v>
      </c>
      <c r="D152" s="8">
        <v>2.0</v>
      </c>
      <c r="E152" s="7" t="s">
        <v>14</v>
      </c>
      <c r="F152" s="9">
        <v>46044.0</v>
      </c>
      <c r="G152" s="15">
        <v>0.7395833333333334</v>
      </c>
      <c r="H152" s="11">
        <f t="shared" si="1"/>
        <v>0.75</v>
      </c>
      <c r="I152" s="16" t="s">
        <v>173</v>
      </c>
      <c r="J152" s="7" t="s">
        <v>17</v>
      </c>
      <c r="K152" s="13" t="s">
        <v>735</v>
      </c>
      <c r="L152" s="12">
        <f>IFERROR(__xludf.DUMMYFUNCTION("COUNTUNIQUE($B$2:B152)"),151.0)</f>
        <v>151</v>
      </c>
    </row>
    <row r="153" ht="22.5" customHeight="1">
      <c r="A153" s="13" t="s">
        <v>736</v>
      </c>
      <c r="B153" s="13" t="s">
        <v>737</v>
      </c>
      <c r="C153" s="14" t="s">
        <v>738</v>
      </c>
      <c r="D153" s="8">
        <v>2.0</v>
      </c>
      <c r="E153" s="7" t="s">
        <v>14</v>
      </c>
      <c r="F153" s="9">
        <v>46044.0</v>
      </c>
      <c r="G153" s="15">
        <v>0.75</v>
      </c>
      <c r="H153" s="11">
        <f t="shared" si="1"/>
        <v>0.7604166667</v>
      </c>
      <c r="I153" s="6" t="s">
        <v>739</v>
      </c>
      <c r="J153" s="7" t="s">
        <v>17</v>
      </c>
      <c r="K153" s="13" t="s">
        <v>740</v>
      </c>
      <c r="L153" s="12">
        <f>IFERROR(__xludf.DUMMYFUNCTION("COUNTUNIQUE($B$2:B153)"),152.0)</f>
        <v>152</v>
      </c>
    </row>
    <row r="154" ht="22.5" customHeight="1">
      <c r="A154" s="13" t="s">
        <v>741</v>
      </c>
      <c r="B154" s="13" t="s">
        <v>742</v>
      </c>
      <c r="C154" s="14" t="s">
        <v>743</v>
      </c>
      <c r="D154" s="8">
        <v>3.0</v>
      </c>
      <c r="E154" s="7" t="s">
        <v>14</v>
      </c>
      <c r="F154" s="9">
        <v>46044.0</v>
      </c>
      <c r="G154" s="15">
        <v>0.5</v>
      </c>
      <c r="H154" s="11">
        <f t="shared" si="1"/>
        <v>0.5104166667</v>
      </c>
      <c r="I154" s="16" t="s">
        <v>744</v>
      </c>
      <c r="J154" s="7" t="s">
        <v>17</v>
      </c>
      <c r="K154" s="13" t="s">
        <v>745</v>
      </c>
      <c r="L154" s="12">
        <f>IFERROR(__xludf.DUMMYFUNCTION("COUNTUNIQUE($B$2:B154)"),153.0)</f>
        <v>153</v>
      </c>
    </row>
    <row r="155" ht="22.5" customHeight="1">
      <c r="A155" s="13" t="s">
        <v>746</v>
      </c>
      <c r="B155" s="13" t="s">
        <v>747</v>
      </c>
      <c r="C155" s="14" t="s">
        <v>748</v>
      </c>
      <c r="D155" s="8">
        <v>3.0</v>
      </c>
      <c r="E155" s="7" t="s">
        <v>14</v>
      </c>
      <c r="F155" s="9">
        <v>46044.0</v>
      </c>
      <c r="G155" s="15">
        <v>0.6458333333333334</v>
      </c>
      <c r="H155" s="11">
        <f t="shared" si="1"/>
        <v>0.65625</v>
      </c>
      <c r="I155" s="6" t="s">
        <v>749</v>
      </c>
      <c r="J155" s="7" t="s">
        <v>17</v>
      </c>
      <c r="K155" s="13" t="s">
        <v>750</v>
      </c>
      <c r="L155" s="12">
        <f>IFERROR(__xludf.DUMMYFUNCTION("COUNTUNIQUE($B$2:B155)"),154.0)</f>
        <v>154</v>
      </c>
    </row>
    <row r="156" ht="22.5" customHeight="1">
      <c r="A156" s="13" t="s">
        <v>751</v>
      </c>
      <c r="B156" s="13" t="s">
        <v>752</v>
      </c>
      <c r="C156" s="14" t="s">
        <v>753</v>
      </c>
      <c r="D156" s="8">
        <v>3.0</v>
      </c>
      <c r="E156" s="7" t="s">
        <v>14</v>
      </c>
      <c r="F156" s="9">
        <v>46044.0</v>
      </c>
      <c r="G156" s="15">
        <v>0.65625</v>
      </c>
      <c r="H156" s="11">
        <f t="shared" si="1"/>
        <v>0.6666666667</v>
      </c>
      <c r="I156" s="17" t="s">
        <v>120</v>
      </c>
      <c r="J156" s="7" t="s">
        <v>17</v>
      </c>
      <c r="K156" s="13" t="s">
        <v>754</v>
      </c>
      <c r="L156" s="12">
        <f>IFERROR(__xludf.DUMMYFUNCTION("COUNTUNIQUE($B$2:B156)"),155.0)</f>
        <v>155</v>
      </c>
    </row>
    <row r="157" ht="22.5" customHeight="1">
      <c r="A157" s="13" t="s">
        <v>755</v>
      </c>
      <c r="B157" s="13" t="s">
        <v>756</v>
      </c>
      <c r="C157" s="14" t="s">
        <v>757</v>
      </c>
      <c r="D157" s="8">
        <v>3.0</v>
      </c>
      <c r="E157" s="7" t="s">
        <v>14</v>
      </c>
      <c r="F157" s="9">
        <v>46044.0</v>
      </c>
      <c r="G157" s="15">
        <v>0.7083333333333334</v>
      </c>
      <c r="H157" s="11">
        <f t="shared" si="1"/>
        <v>0.71875</v>
      </c>
      <c r="I157" s="16" t="s">
        <v>120</v>
      </c>
      <c r="J157" s="7" t="s">
        <v>17</v>
      </c>
      <c r="K157" s="13" t="s">
        <v>758</v>
      </c>
      <c r="L157" s="12">
        <f>IFERROR(__xludf.DUMMYFUNCTION("COUNTUNIQUE($B$2:B157)"),156.0)</f>
        <v>156</v>
      </c>
    </row>
    <row r="158" ht="22.5" customHeight="1">
      <c r="A158" s="13" t="s">
        <v>759</v>
      </c>
      <c r="B158" s="13" t="s">
        <v>760</v>
      </c>
      <c r="C158" s="14" t="s">
        <v>761</v>
      </c>
      <c r="D158" s="8">
        <v>3.0</v>
      </c>
      <c r="E158" s="7" t="s">
        <v>14</v>
      </c>
      <c r="F158" s="9">
        <v>46044.0</v>
      </c>
      <c r="G158" s="15">
        <v>0.7291666666666666</v>
      </c>
      <c r="H158" s="11">
        <f t="shared" si="1"/>
        <v>0.7395833333</v>
      </c>
      <c r="I158" s="16" t="s">
        <v>762</v>
      </c>
      <c r="J158" s="7" t="s">
        <v>17</v>
      </c>
      <c r="K158" s="13" t="s">
        <v>763</v>
      </c>
      <c r="L158" s="12">
        <f>IFERROR(__xludf.DUMMYFUNCTION("COUNTUNIQUE($B$2:B158)"),157.0)</f>
        <v>157</v>
      </c>
    </row>
    <row r="159" ht="22.5" customHeight="1">
      <c r="A159" s="13" t="s">
        <v>764</v>
      </c>
      <c r="B159" s="13" t="s">
        <v>765</v>
      </c>
      <c r="C159" s="14" t="s">
        <v>766</v>
      </c>
      <c r="D159" s="8">
        <v>3.0</v>
      </c>
      <c r="E159" s="7" t="s">
        <v>14</v>
      </c>
      <c r="F159" s="9">
        <v>46044.0</v>
      </c>
      <c r="G159" s="15">
        <v>0.7395833333333334</v>
      </c>
      <c r="H159" s="11">
        <f t="shared" si="1"/>
        <v>0.75</v>
      </c>
      <c r="I159" s="16" t="s">
        <v>120</v>
      </c>
      <c r="J159" s="7" t="s">
        <v>17</v>
      </c>
      <c r="K159" s="13" t="s">
        <v>767</v>
      </c>
      <c r="L159" s="12">
        <f>IFERROR(__xludf.DUMMYFUNCTION("COUNTUNIQUE($B$2:B159)"),158.0)</f>
        <v>158</v>
      </c>
    </row>
    <row r="160" ht="22.5" customHeight="1">
      <c r="A160" s="13" t="s">
        <v>768</v>
      </c>
      <c r="B160" s="13" t="s">
        <v>769</v>
      </c>
      <c r="C160" s="14" t="s">
        <v>770</v>
      </c>
      <c r="D160" s="8">
        <v>3.0</v>
      </c>
      <c r="E160" s="7" t="s">
        <v>14</v>
      </c>
      <c r="F160" s="9">
        <v>46044.0</v>
      </c>
      <c r="G160" s="15">
        <v>0.75</v>
      </c>
      <c r="H160" s="11">
        <f t="shared" si="1"/>
        <v>0.7604166667</v>
      </c>
      <c r="I160" s="16" t="s">
        <v>120</v>
      </c>
      <c r="J160" s="7" t="s">
        <v>17</v>
      </c>
      <c r="K160" s="13" t="s">
        <v>771</v>
      </c>
      <c r="L160" s="12">
        <f>IFERROR(__xludf.DUMMYFUNCTION("COUNTUNIQUE($B$2:B160)"),159.0)</f>
        <v>159</v>
      </c>
    </row>
    <row r="161" ht="22.5" customHeight="1">
      <c r="A161" s="13" t="s">
        <v>772</v>
      </c>
      <c r="B161" s="13" t="s">
        <v>773</v>
      </c>
      <c r="C161" s="14" t="s">
        <v>774</v>
      </c>
      <c r="D161" s="8">
        <v>3.0</v>
      </c>
      <c r="E161" s="7" t="s">
        <v>14</v>
      </c>
      <c r="F161" s="9">
        <v>46044.0</v>
      </c>
      <c r="G161" s="15">
        <v>0.7604166666666666</v>
      </c>
      <c r="H161" s="11">
        <f t="shared" si="1"/>
        <v>0.7708333333</v>
      </c>
      <c r="I161" s="6" t="s">
        <v>120</v>
      </c>
      <c r="J161" s="7" t="s">
        <v>17</v>
      </c>
      <c r="K161" s="13" t="s">
        <v>775</v>
      </c>
      <c r="L161" s="12">
        <f>IFERROR(__xludf.DUMMYFUNCTION("COUNTUNIQUE($B$2:B161)"),160.0)</f>
        <v>160</v>
      </c>
    </row>
    <row r="162" ht="22.5" customHeight="1">
      <c r="A162" s="13" t="s">
        <v>776</v>
      </c>
      <c r="B162" s="13" t="s">
        <v>777</v>
      </c>
      <c r="C162" s="14" t="s">
        <v>778</v>
      </c>
      <c r="D162" s="8">
        <v>4.0</v>
      </c>
      <c r="E162" s="7" t="s">
        <v>14</v>
      </c>
      <c r="F162" s="9">
        <v>46044.0</v>
      </c>
      <c r="G162" s="15">
        <v>0.4479166666666667</v>
      </c>
      <c r="H162" s="11">
        <f t="shared" si="1"/>
        <v>0.4583333333</v>
      </c>
      <c r="I162" s="18" t="s">
        <v>612</v>
      </c>
      <c r="J162" s="7" t="s">
        <v>17</v>
      </c>
      <c r="K162" s="13" t="s">
        <v>779</v>
      </c>
      <c r="L162" s="12">
        <f>IFERROR(__xludf.DUMMYFUNCTION("COUNTUNIQUE($B$2:B162)"),161.0)</f>
        <v>161</v>
      </c>
    </row>
    <row r="163" ht="22.5" customHeight="1">
      <c r="A163" s="13" t="s">
        <v>780</v>
      </c>
      <c r="B163" s="13" t="s">
        <v>781</v>
      </c>
      <c r="C163" s="14" t="s">
        <v>782</v>
      </c>
      <c r="D163" s="8">
        <v>4.0</v>
      </c>
      <c r="E163" s="7" t="s">
        <v>14</v>
      </c>
      <c r="F163" s="9">
        <v>46044.0</v>
      </c>
      <c r="G163" s="15">
        <v>0.6354166666666666</v>
      </c>
      <c r="H163" s="11">
        <f t="shared" si="1"/>
        <v>0.6458333333</v>
      </c>
      <c r="I163" s="16" t="s">
        <v>725</v>
      </c>
      <c r="J163" s="7" t="s">
        <v>17</v>
      </c>
      <c r="K163" s="13" t="s">
        <v>783</v>
      </c>
      <c r="L163" s="12">
        <f>IFERROR(__xludf.DUMMYFUNCTION("COUNTUNIQUE($B$2:B163)"),162.0)</f>
        <v>162</v>
      </c>
    </row>
    <row r="164" ht="22.5" customHeight="1">
      <c r="A164" s="13" t="s">
        <v>784</v>
      </c>
      <c r="B164" s="13" t="s">
        <v>785</v>
      </c>
      <c r="C164" s="14" t="s">
        <v>786</v>
      </c>
      <c r="D164" s="8">
        <v>4.0</v>
      </c>
      <c r="E164" s="7" t="s">
        <v>14</v>
      </c>
      <c r="F164" s="9">
        <v>46044.0</v>
      </c>
      <c r="G164" s="15">
        <v>0.7083333333333334</v>
      </c>
      <c r="H164" s="11">
        <f t="shared" si="1"/>
        <v>0.71875</v>
      </c>
      <c r="I164" s="19" t="s">
        <v>787</v>
      </c>
      <c r="J164" s="7" t="s">
        <v>17</v>
      </c>
      <c r="K164" s="13" t="s">
        <v>788</v>
      </c>
      <c r="L164" s="12">
        <f>IFERROR(__xludf.DUMMYFUNCTION("COUNTUNIQUE($B$2:B164)"),163.0)</f>
        <v>163</v>
      </c>
    </row>
    <row r="165" ht="22.5" customHeight="1">
      <c r="A165" s="13" t="s">
        <v>789</v>
      </c>
      <c r="B165" s="13" t="s">
        <v>790</v>
      </c>
      <c r="C165" s="14" t="s">
        <v>791</v>
      </c>
      <c r="D165" s="8">
        <v>4.0</v>
      </c>
      <c r="E165" s="7" t="s">
        <v>14</v>
      </c>
      <c r="F165" s="9">
        <v>46044.0</v>
      </c>
      <c r="G165" s="15">
        <v>0.71875</v>
      </c>
      <c r="H165" s="11">
        <f t="shared" si="1"/>
        <v>0.7291666667</v>
      </c>
      <c r="I165" s="18" t="s">
        <v>792</v>
      </c>
      <c r="J165" s="7" t="s">
        <v>17</v>
      </c>
      <c r="K165" s="13" t="s">
        <v>793</v>
      </c>
      <c r="L165" s="12">
        <f>IFERROR(__xludf.DUMMYFUNCTION("COUNTUNIQUE($B$2:B165)"),164.0)</f>
        <v>164</v>
      </c>
    </row>
    <row r="166" ht="22.5" customHeight="1">
      <c r="A166" s="13" t="s">
        <v>794</v>
      </c>
      <c r="B166" s="13" t="s">
        <v>795</v>
      </c>
      <c r="C166" s="14" t="s">
        <v>796</v>
      </c>
      <c r="D166" s="8">
        <v>5.0</v>
      </c>
      <c r="E166" s="7" t="s">
        <v>14</v>
      </c>
      <c r="F166" s="9">
        <v>46044.0</v>
      </c>
      <c r="G166" s="15">
        <v>0.71875</v>
      </c>
      <c r="H166" s="11">
        <f t="shared" si="1"/>
        <v>0.7291666667</v>
      </c>
      <c r="I166" s="16" t="s">
        <v>797</v>
      </c>
      <c r="J166" s="7" t="s">
        <v>17</v>
      </c>
      <c r="K166" s="13" t="s">
        <v>798</v>
      </c>
      <c r="L166" s="12">
        <f>IFERROR(__xludf.DUMMYFUNCTION("COUNTUNIQUE($B$2:B166)"),165.0)</f>
        <v>165</v>
      </c>
    </row>
    <row r="167" ht="22.5" customHeight="1">
      <c r="A167" s="13" t="s">
        <v>799</v>
      </c>
      <c r="B167" s="13" t="s">
        <v>800</v>
      </c>
      <c r="C167" s="14" t="s">
        <v>801</v>
      </c>
      <c r="D167" s="8">
        <v>5.0</v>
      </c>
      <c r="E167" s="7" t="s">
        <v>14</v>
      </c>
      <c r="F167" s="9">
        <v>46044.0</v>
      </c>
      <c r="G167" s="15">
        <v>0.7395833333333334</v>
      </c>
      <c r="H167" s="11">
        <f t="shared" si="1"/>
        <v>0.75</v>
      </c>
      <c r="I167" s="16" t="s">
        <v>802</v>
      </c>
      <c r="J167" s="7" t="s">
        <v>17</v>
      </c>
      <c r="K167" s="13" t="s">
        <v>803</v>
      </c>
      <c r="L167" s="12">
        <f>IFERROR(__xludf.DUMMYFUNCTION("COUNTUNIQUE($B$2:B167)"),166.0)</f>
        <v>166</v>
      </c>
    </row>
    <row r="168" ht="22.5" customHeight="1">
      <c r="A168" s="13" t="s">
        <v>804</v>
      </c>
      <c r="B168" s="13" t="s">
        <v>805</v>
      </c>
      <c r="C168" s="14" t="s">
        <v>806</v>
      </c>
      <c r="D168" s="8">
        <v>5.0</v>
      </c>
      <c r="E168" s="7" t="s">
        <v>14</v>
      </c>
      <c r="F168" s="9">
        <v>46044.0</v>
      </c>
      <c r="G168" s="15">
        <v>0.75</v>
      </c>
      <c r="H168" s="11">
        <f t="shared" si="1"/>
        <v>0.7604166667</v>
      </c>
      <c r="I168" s="16" t="s">
        <v>802</v>
      </c>
      <c r="J168" s="7" t="s">
        <v>17</v>
      </c>
      <c r="K168" s="13" t="s">
        <v>807</v>
      </c>
      <c r="L168" s="12">
        <f>IFERROR(__xludf.DUMMYFUNCTION("COUNTUNIQUE($B$2:B168)"),167.0)</f>
        <v>167</v>
      </c>
    </row>
    <row r="169" ht="22.5" customHeight="1">
      <c r="A169" s="13" t="s">
        <v>808</v>
      </c>
      <c r="B169" s="13" t="s">
        <v>809</v>
      </c>
      <c r="C169" s="14" t="s">
        <v>810</v>
      </c>
      <c r="D169" s="8">
        <v>5.0</v>
      </c>
      <c r="E169" s="7" t="s">
        <v>14</v>
      </c>
      <c r="F169" s="9">
        <v>46044.0</v>
      </c>
      <c r="G169" s="15">
        <v>0.7604166666666666</v>
      </c>
      <c r="H169" s="11">
        <f t="shared" si="1"/>
        <v>0.7708333333</v>
      </c>
      <c r="I169" s="16" t="s">
        <v>811</v>
      </c>
      <c r="J169" s="7" t="s">
        <v>17</v>
      </c>
      <c r="K169" s="13" t="s">
        <v>812</v>
      </c>
      <c r="L169" s="12">
        <f>IFERROR(__xludf.DUMMYFUNCTION("COUNTUNIQUE($B$2:B169)"),168.0)</f>
        <v>168</v>
      </c>
    </row>
    <row r="170" ht="22.5" customHeight="1">
      <c r="A170" s="13" t="s">
        <v>813</v>
      </c>
      <c r="B170" s="13" t="s">
        <v>814</v>
      </c>
      <c r="C170" s="14" t="s">
        <v>815</v>
      </c>
      <c r="D170" s="8">
        <v>5.0</v>
      </c>
      <c r="E170" s="7" t="s">
        <v>14</v>
      </c>
      <c r="F170" s="9">
        <v>46044.0</v>
      </c>
      <c r="G170" s="15">
        <v>0.7708333333333334</v>
      </c>
      <c r="H170" s="11">
        <f t="shared" si="1"/>
        <v>0.78125</v>
      </c>
      <c r="I170" s="18" t="s">
        <v>816</v>
      </c>
      <c r="J170" s="7" t="s">
        <v>17</v>
      </c>
      <c r="K170" s="13" t="s">
        <v>817</v>
      </c>
      <c r="L170" s="12">
        <f>IFERROR(__xludf.DUMMYFUNCTION("COUNTUNIQUE($B$2:B170)"),169.0)</f>
        <v>169</v>
      </c>
    </row>
    <row r="171" ht="22.5" customHeight="1">
      <c r="A171" s="13" t="s">
        <v>818</v>
      </c>
      <c r="B171" s="13" t="s">
        <v>819</v>
      </c>
      <c r="C171" s="14" t="s">
        <v>820</v>
      </c>
      <c r="D171" s="8">
        <v>6.0</v>
      </c>
      <c r="E171" s="7" t="s">
        <v>14</v>
      </c>
      <c r="F171" s="9">
        <v>46044.0</v>
      </c>
      <c r="G171" s="15">
        <v>0.4479166666666667</v>
      </c>
      <c r="H171" s="11">
        <f t="shared" si="1"/>
        <v>0.4583333333</v>
      </c>
      <c r="I171" s="18" t="s">
        <v>821</v>
      </c>
      <c r="J171" s="7" t="s">
        <v>17</v>
      </c>
      <c r="K171" s="13" t="s">
        <v>822</v>
      </c>
      <c r="L171" s="12">
        <f>IFERROR(__xludf.DUMMYFUNCTION("COUNTUNIQUE($B$2:B171)"),170.0)</f>
        <v>170</v>
      </c>
    </row>
    <row r="172" ht="22.5" customHeight="1">
      <c r="A172" s="13" t="s">
        <v>823</v>
      </c>
      <c r="B172" s="13" t="s">
        <v>824</v>
      </c>
      <c r="C172" s="14" t="s">
        <v>825</v>
      </c>
      <c r="D172" s="8">
        <v>6.0</v>
      </c>
      <c r="E172" s="7" t="s">
        <v>14</v>
      </c>
      <c r="F172" s="9">
        <v>46044.0</v>
      </c>
      <c r="G172" s="15">
        <v>0.4583333333333333</v>
      </c>
      <c r="H172" s="11">
        <f t="shared" si="1"/>
        <v>0.46875</v>
      </c>
      <c r="I172" s="18" t="s">
        <v>816</v>
      </c>
      <c r="J172" s="7" t="s">
        <v>17</v>
      </c>
      <c r="K172" s="13" t="s">
        <v>826</v>
      </c>
      <c r="L172" s="12">
        <f>IFERROR(__xludf.DUMMYFUNCTION("COUNTUNIQUE($B$2:B172)"),171.0)</f>
        <v>171</v>
      </c>
    </row>
    <row r="173" ht="22.5" customHeight="1">
      <c r="A173" s="13" t="s">
        <v>827</v>
      </c>
      <c r="B173" s="13" t="s">
        <v>828</v>
      </c>
      <c r="C173" s="14" t="s">
        <v>829</v>
      </c>
      <c r="D173" s="8">
        <v>6.0</v>
      </c>
      <c r="E173" s="7" t="s">
        <v>14</v>
      </c>
      <c r="F173" s="9">
        <v>46044.0</v>
      </c>
      <c r="G173" s="15">
        <v>0.46875</v>
      </c>
      <c r="H173" s="11">
        <f t="shared" si="1"/>
        <v>0.4791666667</v>
      </c>
      <c r="I173" s="18" t="s">
        <v>816</v>
      </c>
      <c r="J173" s="7" t="s">
        <v>17</v>
      </c>
      <c r="K173" s="13" t="s">
        <v>830</v>
      </c>
      <c r="L173" s="12">
        <f>IFERROR(__xludf.DUMMYFUNCTION("COUNTUNIQUE($B$2:B173)"),172.0)</f>
        <v>172</v>
      </c>
    </row>
    <row r="174" ht="22.5" customHeight="1">
      <c r="A174" s="13" t="s">
        <v>831</v>
      </c>
      <c r="B174" s="13" t="s">
        <v>832</v>
      </c>
      <c r="C174" s="14" t="s">
        <v>833</v>
      </c>
      <c r="D174" s="8">
        <v>6.0</v>
      </c>
      <c r="E174" s="7" t="s">
        <v>14</v>
      </c>
      <c r="F174" s="9">
        <v>46044.0</v>
      </c>
      <c r="G174" s="15">
        <v>0.4791666666666667</v>
      </c>
      <c r="H174" s="11">
        <f t="shared" si="1"/>
        <v>0.4895833333</v>
      </c>
      <c r="I174" s="18" t="s">
        <v>816</v>
      </c>
      <c r="J174" s="7" t="s">
        <v>17</v>
      </c>
      <c r="K174" s="13" t="s">
        <v>834</v>
      </c>
      <c r="L174" s="12">
        <f>IFERROR(__xludf.DUMMYFUNCTION("COUNTUNIQUE($B$2:B174)"),173.0)</f>
        <v>173</v>
      </c>
    </row>
    <row r="175" ht="22.5" customHeight="1">
      <c r="A175" s="13" t="s">
        <v>835</v>
      </c>
      <c r="B175" s="13" t="s">
        <v>836</v>
      </c>
      <c r="C175" s="14" t="s">
        <v>837</v>
      </c>
      <c r="D175" s="8">
        <v>6.0</v>
      </c>
      <c r="E175" s="7" t="s">
        <v>14</v>
      </c>
      <c r="F175" s="9">
        <v>46044.0</v>
      </c>
      <c r="G175" s="15">
        <v>0.4895833333333333</v>
      </c>
      <c r="H175" s="11">
        <f t="shared" si="1"/>
        <v>0.5</v>
      </c>
      <c r="I175" s="18" t="s">
        <v>120</v>
      </c>
      <c r="J175" s="7" t="s">
        <v>17</v>
      </c>
      <c r="K175" s="13" t="s">
        <v>838</v>
      </c>
      <c r="L175" s="12">
        <f>IFERROR(__xludf.DUMMYFUNCTION("COUNTUNIQUE($B$2:B175)"),174.0)</f>
        <v>174</v>
      </c>
    </row>
    <row r="176" ht="22.5" customHeight="1">
      <c r="A176" s="13" t="s">
        <v>839</v>
      </c>
      <c r="B176" s="13" t="s">
        <v>840</v>
      </c>
      <c r="C176" s="14" t="s">
        <v>841</v>
      </c>
      <c r="D176" s="8">
        <v>6.0</v>
      </c>
      <c r="E176" s="7" t="s">
        <v>14</v>
      </c>
      <c r="F176" s="9">
        <v>46044.0</v>
      </c>
      <c r="G176" s="15">
        <v>0.5</v>
      </c>
      <c r="H176" s="11">
        <f t="shared" si="1"/>
        <v>0.5104166667</v>
      </c>
      <c r="I176" s="18" t="s">
        <v>816</v>
      </c>
      <c r="J176" s="7" t="s">
        <v>17</v>
      </c>
      <c r="K176" s="13" t="s">
        <v>842</v>
      </c>
      <c r="L176" s="12">
        <f>IFERROR(__xludf.DUMMYFUNCTION("COUNTUNIQUE($B$2:B176)"),175.0)</f>
        <v>175</v>
      </c>
    </row>
    <row r="177" ht="22.5" customHeight="1">
      <c r="A177" s="13" t="s">
        <v>843</v>
      </c>
      <c r="B177" s="13" t="s">
        <v>844</v>
      </c>
      <c r="C177" s="14" t="s">
        <v>845</v>
      </c>
      <c r="D177" s="8">
        <v>6.0</v>
      </c>
      <c r="E177" s="7" t="s">
        <v>14</v>
      </c>
      <c r="F177" s="9">
        <v>46044.0</v>
      </c>
      <c r="G177" s="15">
        <v>0.5104166666666666</v>
      </c>
      <c r="H177" s="11">
        <f t="shared" si="1"/>
        <v>0.5208333333</v>
      </c>
      <c r="I177" s="18" t="s">
        <v>846</v>
      </c>
      <c r="J177" s="7" t="s">
        <v>17</v>
      </c>
      <c r="K177" s="13" t="s">
        <v>847</v>
      </c>
      <c r="L177" s="12">
        <f>IFERROR(__xludf.DUMMYFUNCTION("COUNTUNIQUE($B$2:B177)"),176.0)</f>
        <v>176</v>
      </c>
    </row>
    <row r="178" ht="22.5" customHeight="1">
      <c r="A178" s="13" t="s">
        <v>848</v>
      </c>
      <c r="B178" s="13" t="s">
        <v>849</v>
      </c>
      <c r="C178" s="14" t="s">
        <v>850</v>
      </c>
      <c r="D178" s="8">
        <v>6.0</v>
      </c>
      <c r="E178" s="7" t="s">
        <v>14</v>
      </c>
      <c r="F178" s="9">
        <v>46044.0</v>
      </c>
      <c r="G178" s="15">
        <v>0.5208333333333334</v>
      </c>
      <c r="H178" s="11">
        <f t="shared" si="1"/>
        <v>0.53125</v>
      </c>
      <c r="I178" s="6" t="s">
        <v>851</v>
      </c>
      <c r="J178" s="7" t="s">
        <v>17</v>
      </c>
      <c r="K178" s="13" t="s">
        <v>852</v>
      </c>
      <c r="L178" s="12">
        <f>IFERROR(__xludf.DUMMYFUNCTION("COUNTUNIQUE($B$2:B178)"),177.0)</f>
        <v>177</v>
      </c>
    </row>
    <row r="179" ht="22.5" customHeight="1">
      <c r="A179" s="13" t="s">
        <v>853</v>
      </c>
      <c r="B179" s="13" t="s">
        <v>854</v>
      </c>
      <c r="C179" s="14" t="s">
        <v>855</v>
      </c>
      <c r="D179" s="8">
        <v>6.0</v>
      </c>
      <c r="E179" s="7" t="s">
        <v>14</v>
      </c>
      <c r="F179" s="9">
        <v>46044.0</v>
      </c>
      <c r="G179" s="15">
        <v>0.5520833333333334</v>
      </c>
      <c r="H179" s="11">
        <f t="shared" si="1"/>
        <v>0.5625</v>
      </c>
      <c r="I179" s="20" t="s">
        <v>856</v>
      </c>
      <c r="J179" s="7" t="s">
        <v>17</v>
      </c>
      <c r="K179" s="13" t="s">
        <v>857</v>
      </c>
      <c r="L179" s="12">
        <f>IFERROR(__xludf.DUMMYFUNCTION("COUNTUNIQUE($B$2:B179)"),178.0)</f>
        <v>178</v>
      </c>
    </row>
    <row r="180" ht="22.5" customHeight="1">
      <c r="A180" s="13" t="s">
        <v>858</v>
      </c>
      <c r="B180" s="13" t="s">
        <v>859</v>
      </c>
      <c r="C180" s="14" t="s">
        <v>860</v>
      </c>
      <c r="D180" s="8">
        <v>6.0</v>
      </c>
      <c r="E180" s="7" t="s">
        <v>14</v>
      </c>
      <c r="F180" s="9">
        <v>46044.0</v>
      </c>
      <c r="G180" s="15">
        <v>0.5625</v>
      </c>
      <c r="H180" s="11">
        <f t="shared" si="1"/>
        <v>0.5729166667</v>
      </c>
      <c r="I180" s="16" t="s">
        <v>861</v>
      </c>
      <c r="J180" s="7" t="s">
        <v>17</v>
      </c>
      <c r="K180" s="13" t="s">
        <v>862</v>
      </c>
      <c r="L180" s="12">
        <f>IFERROR(__xludf.DUMMYFUNCTION("COUNTUNIQUE($B$2:B180)"),179.0)</f>
        <v>179</v>
      </c>
    </row>
    <row r="181" ht="22.5" customHeight="1">
      <c r="A181" s="13" t="s">
        <v>863</v>
      </c>
      <c r="B181" s="13" t="s">
        <v>864</v>
      </c>
      <c r="C181" s="14" t="s">
        <v>865</v>
      </c>
      <c r="D181" s="8">
        <v>6.0</v>
      </c>
      <c r="E181" s="7" t="s">
        <v>14</v>
      </c>
      <c r="F181" s="9">
        <v>46044.0</v>
      </c>
      <c r="G181" s="15">
        <v>0.5729166666666666</v>
      </c>
      <c r="H181" s="11">
        <f t="shared" si="1"/>
        <v>0.5833333333</v>
      </c>
      <c r="I181" s="16" t="s">
        <v>866</v>
      </c>
      <c r="J181" s="7" t="s">
        <v>17</v>
      </c>
      <c r="K181" s="13" t="s">
        <v>867</v>
      </c>
      <c r="L181" s="12">
        <f>IFERROR(__xludf.DUMMYFUNCTION("COUNTUNIQUE($B$2:B181)"),180.0)</f>
        <v>180</v>
      </c>
    </row>
    <row r="182" ht="22.5" customHeight="1">
      <c r="A182" s="13" t="s">
        <v>868</v>
      </c>
      <c r="B182" s="13" t="s">
        <v>869</v>
      </c>
      <c r="C182" s="14" t="s">
        <v>870</v>
      </c>
      <c r="D182" s="8">
        <v>6.0</v>
      </c>
      <c r="E182" s="7" t="s">
        <v>14</v>
      </c>
      <c r="F182" s="9">
        <v>46044.0</v>
      </c>
      <c r="G182" s="15">
        <v>0.5833333333333334</v>
      </c>
      <c r="H182" s="11">
        <f t="shared" si="1"/>
        <v>0.59375</v>
      </c>
      <c r="I182" s="16" t="s">
        <v>725</v>
      </c>
      <c r="J182" s="7" t="s">
        <v>17</v>
      </c>
      <c r="K182" s="13" t="s">
        <v>871</v>
      </c>
      <c r="L182" s="12">
        <f>IFERROR(__xludf.DUMMYFUNCTION("COUNTUNIQUE($B$2:B182)"),181.0)</f>
        <v>181</v>
      </c>
    </row>
    <row r="183" ht="22.5" customHeight="1">
      <c r="A183" s="13" t="s">
        <v>872</v>
      </c>
      <c r="B183" s="13" t="s">
        <v>873</v>
      </c>
      <c r="C183" s="14" t="s">
        <v>874</v>
      </c>
      <c r="D183" s="8">
        <v>6.0</v>
      </c>
      <c r="E183" s="7" t="s">
        <v>14</v>
      </c>
      <c r="F183" s="9">
        <v>46044.0</v>
      </c>
      <c r="G183" s="15">
        <v>0.59375</v>
      </c>
      <c r="H183" s="11">
        <f t="shared" si="1"/>
        <v>0.6041666667</v>
      </c>
      <c r="I183" s="16" t="s">
        <v>725</v>
      </c>
      <c r="J183" s="7" t="s">
        <v>17</v>
      </c>
      <c r="K183" s="13" t="s">
        <v>875</v>
      </c>
      <c r="L183" s="12">
        <f>IFERROR(__xludf.DUMMYFUNCTION("COUNTUNIQUE($B$2:B183)"),182.0)</f>
        <v>182</v>
      </c>
    </row>
    <row r="184" ht="22.5" customHeight="1">
      <c r="A184" s="13" t="s">
        <v>876</v>
      </c>
      <c r="B184" s="13" t="s">
        <v>877</v>
      </c>
      <c r="C184" s="14" t="s">
        <v>878</v>
      </c>
      <c r="D184" s="8">
        <v>6.0</v>
      </c>
      <c r="E184" s="7" t="s">
        <v>14</v>
      </c>
      <c r="F184" s="9">
        <v>46044.0</v>
      </c>
      <c r="G184" s="15">
        <v>0.6041666666666666</v>
      </c>
      <c r="H184" s="11">
        <f t="shared" si="1"/>
        <v>0.6145833333</v>
      </c>
      <c r="I184" s="16" t="s">
        <v>879</v>
      </c>
      <c r="J184" s="7" t="s">
        <v>17</v>
      </c>
      <c r="K184" s="13" t="s">
        <v>880</v>
      </c>
      <c r="L184" s="12">
        <f>IFERROR(__xludf.DUMMYFUNCTION("COUNTUNIQUE($B$2:B184)"),183.0)</f>
        <v>183</v>
      </c>
    </row>
    <row r="185" ht="22.5" customHeight="1">
      <c r="A185" s="13" t="s">
        <v>881</v>
      </c>
      <c r="B185" s="13" t="s">
        <v>882</v>
      </c>
      <c r="C185" s="14" t="s">
        <v>883</v>
      </c>
      <c r="D185" s="8">
        <v>6.0</v>
      </c>
      <c r="E185" s="7" t="s">
        <v>14</v>
      </c>
      <c r="F185" s="9">
        <v>46044.0</v>
      </c>
      <c r="G185" s="15">
        <v>0.6145833333333334</v>
      </c>
      <c r="H185" s="11">
        <f t="shared" si="1"/>
        <v>0.625</v>
      </c>
      <c r="I185" s="16" t="s">
        <v>884</v>
      </c>
      <c r="J185" s="7" t="s">
        <v>17</v>
      </c>
      <c r="K185" s="13" t="s">
        <v>885</v>
      </c>
      <c r="L185" s="12">
        <f>IFERROR(__xludf.DUMMYFUNCTION("COUNTUNIQUE($B$2:B185)"),184.0)</f>
        <v>184</v>
      </c>
    </row>
    <row r="186" ht="22.5" customHeight="1">
      <c r="A186" s="13" t="s">
        <v>886</v>
      </c>
      <c r="B186" s="13" t="s">
        <v>887</v>
      </c>
      <c r="C186" s="14" t="s">
        <v>888</v>
      </c>
      <c r="D186" s="8">
        <v>6.0</v>
      </c>
      <c r="E186" s="7" t="s">
        <v>14</v>
      </c>
      <c r="F186" s="9">
        <v>46044.0</v>
      </c>
      <c r="G186" s="15">
        <v>0.625</v>
      </c>
      <c r="H186" s="11">
        <f t="shared" si="1"/>
        <v>0.6354166667</v>
      </c>
      <c r="I186" s="16" t="s">
        <v>120</v>
      </c>
      <c r="J186" s="7" t="s">
        <v>17</v>
      </c>
      <c r="K186" s="13" t="s">
        <v>889</v>
      </c>
      <c r="L186" s="12">
        <f>IFERROR(__xludf.DUMMYFUNCTION("COUNTUNIQUE($B$2:B186)"),185.0)</f>
        <v>185</v>
      </c>
    </row>
    <row r="187" ht="22.5" customHeight="1">
      <c r="A187" s="13" t="s">
        <v>890</v>
      </c>
      <c r="B187" s="13" t="s">
        <v>891</v>
      </c>
      <c r="C187" s="14" t="s">
        <v>892</v>
      </c>
      <c r="D187" s="8">
        <v>6.0</v>
      </c>
      <c r="E187" s="7" t="s">
        <v>14</v>
      </c>
      <c r="F187" s="9">
        <v>46044.0</v>
      </c>
      <c r="G187" s="15">
        <v>0.6354166666666666</v>
      </c>
      <c r="H187" s="11">
        <f t="shared" si="1"/>
        <v>0.6458333333</v>
      </c>
      <c r="I187" s="16" t="s">
        <v>893</v>
      </c>
      <c r="J187" s="7" t="s">
        <v>17</v>
      </c>
      <c r="K187" s="13" t="s">
        <v>894</v>
      </c>
      <c r="L187" s="12">
        <f>IFERROR(__xludf.DUMMYFUNCTION("COUNTUNIQUE($B$2:B187)"),186.0)</f>
        <v>186</v>
      </c>
    </row>
    <row r="188" ht="22.5" customHeight="1">
      <c r="A188" s="13" t="s">
        <v>895</v>
      </c>
      <c r="B188" s="13" t="s">
        <v>896</v>
      </c>
      <c r="C188" s="14" t="s">
        <v>897</v>
      </c>
      <c r="D188" s="8">
        <v>6.0</v>
      </c>
      <c r="E188" s="7" t="s">
        <v>14</v>
      </c>
      <c r="F188" s="9">
        <v>46044.0</v>
      </c>
      <c r="G188" s="15">
        <v>0.6458333333333334</v>
      </c>
      <c r="H188" s="11">
        <f t="shared" si="1"/>
        <v>0.65625</v>
      </c>
      <c r="I188" s="16" t="s">
        <v>898</v>
      </c>
      <c r="J188" s="7" t="s">
        <v>17</v>
      </c>
      <c r="K188" s="13" t="s">
        <v>899</v>
      </c>
      <c r="L188" s="12">
        <f>IFERROR(__xludf.DUMMYFUNCTION("COUNTUNIQUE($B$2:B188)"),187.0)</f>
        <v>187</v>
      </c>
    </row>
    <row r="189" ht="22.5" customHeight="1">
      <c r="A189" s="13" t="s">
        <v>900</v>
      </c>
      <c r="B189" s="13" t="s">
        <v>901</v>
      </c>
      <c r="C189" s="14" t="s">
        <v>902</v>
      </c>
      <c r="D189" s="8">
        <v>6.0</v>
      </c>
      <c r="E189" s="7" t="s">
        <v>14</v>
      </c>
      <c r="F189" s="9">
        <v>46044.0</v>
      </c>
      <c r="G189" s="15">
        <v>0.65625</v>
      </c>
      <c r="H189" s="11">
        <f t="shared" si="1"/>
        <v>0.6666666667</v>
      </c>
      <c r="I189" s="21" t="s">
        <v>903</v>
      </c>
      <c r="J189" s="7" t="s">
        <v>17</v>
      </c>
      <c r="K189" s="13" t="s">
        <v>904</v>
      </c>
      <c r="L189" s="12">
        <f>IFERROR(__xludf.DUMMYFUNCTION("COUNTUNIQUE($B$2:B189)"),188.0)</f>
        <v>188</v>
      </c>
    </row>
    <row r="190" ht="22.5" customHeight="1">
      <c r="A190" s="13" t="s">
        <v>905</v>
      </c>
      <c r="B190" s="13" t="s">
        <v>906</v>
      </c>
      <c r="C190" s="14" t="s">
        <v>907</v>
      </c>
      <c r="D190" s="8">
        <v>6.0</v>
      </c>
      <c r="E190" s="7" t="s">
        <v>14</v>
      </c>
      <c r="F190" s="9">
        <v>46044.0</v>
      </c>
      <c r="G190" s="15">
        <v>0.6770833333333334</v>
      </c>
      <c r="H190" s="11">
        <f t="shared" si="1"/>
        <v>0.6875</v>
      </c>
      <c r="I190" s="16" t="s">
        <v>908</v>
      </c>
      <c r="J190" s="7" t="s">
        <v>17</v>
      </c>
      <c r="K190" s="13" t="s">
        <v>909</v>
      </c>
      <c r="L190" s="12">
        <f>IFERROR(__xludf.DUMMYFUNCTION("COUNTUNIQUE($B$2:B190)"),189.0)</f>
        <v>189</v>
      </c>
    </row>
    <row r="191" ht="22.5" customHeight="1">
      <c r="A191" s="13" t="s">
        <v>910</v>
      </c>
      <c r="B191" s="13" t="s">
        <v>911</v>
      </c>
      <c r="C191" s="14" t="s">
        <v>912</v>
      </c>
      <c r="D191" s="8">
        <v>6.0</v>
      </c>
      <c r="E191" s="7" t="s">
        <v>14</v>
      </c>
      <c r="F191" s="9">
        <v>46044.0</v>
      </c>
      <c r="G191" s="15">
        <v>0.6875</v>
      </c>
      <c r="H191" s="11">
        <f t="shared" si="1"/>
        <v>0.6979166667</v>
      </c>
      <c r="I191" s="16" t="s">
        <v>913</v>
      </c>
      <c r="J191" s="7" t="s">
        <v>17</v>
      </c>
      <c r="K191" s="13" t="s">
        <v>914</v>
      </c>
      <c r="L191" s="12">
        <f>IFERROR(__xludf.DUMMYFUNCTION("COUNTUNIQUE($B$2:B191)"),190.0)</f>
        <v>190</v>
      </c>
    </row>
    <row r="192" ht="22.5" customHeight="1">
      <c r="A192" s="13" t="s">
        <v>915</v>
      </c>
      <c r="B192" s="13" t="s">
        <v>916</v>
      </c>
      <c r="C192" s="14" t="s">
        <v>917</v>
      </c>
      <c r="D192" s="8">
        <v>6.0</v>
      </c>
      <c r="E192" s="7" t="s">
        <v>14</v>
      </c>
      <c r="F192" s="9">
        <v>46044.0</v>
      </c>
      <c r="G192" s="15">
        <v>0.6979166666666666</v>
      </c>
      <c r="H192" s="11">
        <f t="shared" si="1"/>
        <v>0.7083333333</v>
      </c>
      <c r="I192" s="16" t="s">
        <v>918</v>
      </c>
      <c r="J192" s="7" t="s">
        <v>17</v>
      </c>
      <c r="K192" s="13" t="s">
        <v>919</v>
      </c>
      <c r="L192" s="12">
        <f>IFERROR(__xludf.DUMMYFUNCTION("COUNTUNIQUE($B$2:B192)"),191.0)</f>
        <v>191</v>
      </c>
    </row>
    <row r="193" ht="22.5" customHeight="1">
      <c r="A193" s="13" t="s">
        <v>920</v>
      </c>
      <c r="B193" s="13" t="s">
        <v>921</v>
      </c>
      <c r="C193" s="14" t="s">
        <v>922</v>
      </c>
      <c r="D193" s="8">
        <v>6.0</v>
      </c>
      <c r="E193" s="7" t="s">
        <v>14</v>
      </c>
      <c r="F193" s="9">
        <v>46044.0</v>
      </c>
      <c r="G193" s="15">
        <v>0.7083333333333334</v>
      </c>
      <c r="H193" s="11">
        <f t="shared" si="1"/>
        <v>0.71875</v>
      </c>
      <c r="I193" s="16" t="s">
        <v>918</v>
      </c>
      <c r="J193" s="7" t="s">
        <v>17</v>
      </c>
      <c r="K193" s="13" t="s">
        <v>923</v>
      </c>
      <c r="L193" s="12">
        <f>IFERROR(__xludf.DUMMYFUNCTION("COUNTUNIQUE($B$2:B193)"),192.0)</f>
        <v>192</v>
      </c>
    </row>
    <row r="194" ht="22.5" customHeight="1">
      <c r="A194" s="13" t="s">
        <v>924</v>
      </c>
      <c r="B194" s="13" t="s">
        <v>925</v>
      </c>
      <c r="C194" s="14" t="s">
        <v>926</v>
      </c>
      <c r="D194" s="8">
        <v>6.0</v>
      </c>
      <c r="E194" s="7" t="s">
        <v>14</v>
      </c>
      <c r="F194" s="9">
        <v>46044.0</v>
      </c>
      <c r="G194" s="15">
        <v>0.71875</v>
      </c>
      <c r="H194" s="11">
        <f t="shared" si="1"/>
        <v>0.7291666667</v>
      </c>
      <c r="I194" s="22" t="s">
        <v>927</v>
      </c>
      <c r="J194" s="7" t="s">
        <v>17</v>
      </c>
      <c r="K194" s="13" t="s">
        <v>928</v>
      </c>
      <c r="L194" s="12">
        <f>IFERROR(__xludf.DUMMYFUNCTION("COUNTUNIQUE($B$2:B194)"),193.0)</f>
        <v>193</v>
      </c>
    </row>
    <row r="195" ht="22.5" customHeight="1">
      <c r="A195" s="13" t="s">
        <v>929</v>
      </c>
      <c r="B195" s="13" t="s">
        <v>930</v>
      </c>
      <c r="C195" s="14" t="s">
        <v>931</v>
      </c>
      <c r="D195" s="8">
        <v>6.0</v>
      </c>
      <c r="E195" s="7" t="s">
        <v>14</v>
      </c>
      <c r="F195" s="9">
        <v>46044.0</v>
      </c>
      <c r="G195" s="15">
        <v>0.7291666666666666</v>
      </c>
      <c r="H195" s="11">
        <f t="shared" si="1"/>
        <v>0.7395833333</v>
      </c>
      <c r="I195" s="16" t="s">
        <v>932</v>
      </c>
      <c r="J195" s="7" t="s">
        <v>17</v>
      </c>
      <c r="K195" s="13" t="s">
        <v>933</v>
      </c>
      <c r="L195" s="12">
        <f>IFERROR(__xludf.DUMMYFUNCTION("COUNTUNIQUE($B$2:B195)"),194.0)</f>
        <v>194</v>
      </c>
    </row>
    <row r="196" ht="22.5" customHeight="1">
      <c r="A196" s="13" t="s">
        <v>934</v>
      </c>
      <c r="B196" s="13" t="s">
        <v>935</v>
      </c>
      <c r="C196" s="14" t="s">
        <v>936</v>
      </c>
      <c r="D196" s="8">
        <v>6.0</v>
      </c>
      <c r="E196" s="7" t="s">
        <v>14</v>
      </c>
      <c r="F196" s="9">
        <v>46044.0</v>
      </c>
      <c r="G196" s="15">
        <v>0.7395833333333334</v>
      </c>
      <c r="H196" s="11">
        <f t="shared" si="1"/>
        <v>0.75</v>
      </c>
      <c r="I196" s="19" t="s">
        <v>937</v>
      </c>
      <c r="J196" s="7" t="s">
        <v>17</v>
      </c>
      <c r="K196" s="13" t="s">
        <v>938</v>
      </c>
      <c r="L196" s="12">
        <f>IFERROR(__xludf.DUMMYFUNCTION("COUNTUNIQUE($B$2:B196)"),195.0)</f>
        <v>195</v>
      </c>
    </row>
    <row r="197" ht="22.5" customHeight="1">
      <c r="A197" s="13" t="s">
        <v>939</v>
      </c>
      <c r="B197" s="13" t="s">
        <v>940</v>
      </c>
      <c r="C197" s="14" t="s">
        <v>941</v>
      </c>
      <c r="D197" s="8">
        <v>6.0</v>
      </c>
      <c r="E197" s="7" t="s">
        <v>14</v>
      </c>
      <c r="F197" s="9">
        <v>46044.0</v>
      </c>
      <c r="G197" s="15">
        <v>0.75</v>
      </c>
      <c r="H197" s="11">
        <f t="shared" si="1"/>
        <v>0.7604166667</v>
      </c>
      <c r="I197" s="16" t="s">
        <v>942</v>
      </c>
      <c r="J197" s="7" t="s">
        <v>17</v>
      </c>
      <c r="K197" s="13" t="s">
        <v>943</v>
      </c>
      <c r="L197" s="12">
        <f>IFERROR(__xludf.DUMMYFUNCTION("COUNTUNIQUE($B$2:B197)"),196.0)</f>
        <v>196</v>
      </c>
    </row>
    <row r="198" ht="22.5" customHeight="1">
      <c r="A198" s="13" t="s">
        <v>944</v>
      </c>
      <c r="B198" s="13" t="s">
        <v>945</v>
      </c>
      <c r="C198" s="14" t="s">
        <v>946</v>
      </c>
      <c r="D198" s="8">
        <v>6.0</v>
      </c>
      <c r="E198" s="7" t="s">
        <v>14</v>
      </c>
      <c r="F198" s="9">
        <v>46044.0</v>
      </c>
      <c r="G198" s="15">
        <v>0.7604166666666666</v>
      </c>
      <c r="H198" s="11">
        <f t="shared" si="1"/>
        <v>0.7708333333</v>
      </c>
      <c r="I198" s="19" t="s">
        <v>856</v>
      </c>
      <c r="J198" s="7" t="s">
        <v>17</v>
      </c>
      <c r="K198" s="13" t="s">
        <v>947</v>
      </c>
      <c r="L198" s="12">
        <f>IFERROR(__xludf.DUMMYFUNCTION("COUNTUNIQUE($B$2:B198)"),197.0)</f>
        <v>197</v>
      </c>
    </row>
    <row r="199" ht="22.5" customHeight="1">
      <c r="A199" s="13" t="s">
        <v>948</v>
      </c>
      <c r="B199" s="13" t="s">
        <v>949</v>
      </c>
      <c r="C199" s="14" t="s">
        <v>950</v>
      </c>
      <c r="D199" s="8">
        <v>6.0</v>
      </c>
      <c r="E199" s="7" t="s">
        <v>14</v>
      </c>
      <c r="F199" s="9">
        <v>46044.0</v>
      </c>
      <c r="G199" s="15">
        <v>0.7708333333333334</v>
      </c>
      <c r="H199" s="11">
        <f t="shared" si="1"/>
        <v>0.78125</v>
      </c>
      <c r="I199" s="22" t="s">
        <v>951</v>
      </c>
      <c r="J199" s="7" t="s">
        <v>17</v>
      </c>
      <c r="K199" s="13" t="s">
        <v>952</v>
      </c>
      <c r="L199" s="12">
        <f>IFERROR(__xludf.DUMMYFUNCTION("COUNTUNIQUE($B$2:B199)"),198.0)</f>
        <v>198</v>
      </c>
    </row>
    <row r="200" ht="22.5" customHeight="1">
      <c r="A200" s="13" t="s">
        <v>953</v>
      </c>
      <c r="B200" s="13" t="s">
        <v>954</v>
      </c>
      <c r="C200" s="14" t="s">
        <v>955</v>
      </c>
      <c r="D200" s="8">
        <v>6.0</v>
      </c>
      <c r="E200" s="7" t="s">
        <v>14</v>
      </c>
      <c r="F200" s="9">
        <v>46044.0</v>
      </c>
      <c r="G200" s="15">
        <v>0.8020833333333334</v>
      </c>
      <c r="H200" s="11">
        <f t="shared" si="1"/>
        <v>0.8125</v>
      </c>
      <c r="I200" s="6" t="s">
        <v>612</v>
      </c>
      <c r="J200" s="7" t="s">
        <v>17</v>
      </c>
      <c r="K200" s="13" t="s">
        <v>956</v>
      </c>
      <c r="L200" s="12">
        <f>IFERROR(__xludf.DUMMYFUNCTION("COUNTUNIQUE($B$2:B200)"),199.0)</f>
        <v>199</v>
      </c>
    </row>
    <row r="201" ht="22.5" customHeight="1">
      <c r="A201" s="13" t="s">
        <v>957</v>
      </c>
      <c r="B201" s="13" t="s">
        <v>958</v>
      </c>
      <c r="C201" s="14" t="s">
        <v>959</v>
      </c>
      <c r="D201" s="8">
        <v>1.0</v>
      </c>
      <c r="E201" s="7" t="s">
        <v>14</v>
      </c>
      <c r="F201" s="9">
        <v>46044.0</v>
      </c>
      <c r="G201" s="15">
        <v>0.6979166666666666</v>
      </c>
      <c r="H201" s="11">
        <f t="shared" si="1"/>
        <v>0.7083333333</v>
      </c>
      <c r="I201" s="23" t="s">
        <v>951</v>
      </c>
      <c r="J201" s="7" t="s">
        <v>17</v>
      </c>
      <c r="K201" s="13" t="s">
        <v>960</v>
      </c>
      <c r="L201" s="12">
        <f>IFERROR(__xludf.DUMMYFUNCTION("COUNTUNIQUE($B$2:B201)"),200.0)</f>
        <v>200</v>
      </c>
    </row>
    <row r="202" ht="22.5" customHeight="1">
      <c r="A202" s="13" t="s">
        <v>961</v>
      </c>
      <c r="B202" s="13" t="s">
        <v>962</v>
      </c>
      <c r="C202" s="14" t="s">
        <v>963</v>
      </c>
      <c r="D202" s="8">
        <v>1.0</v>
      </c>
      <c r="E202" s="7" t="s">
        <v>14</v>
      </c>
      <c r="F202" s="9">
        <v>46045.0</v>
      </c>
      <c r="G202" s="15">
        <v>0.7083333333333334</v>
      </c>
      <c r="H202" s="11">
        <f t="shared" si="1"/>
        <v>0.71875</v>
      </c>
      <c r="I202" s="18" t="s">
        <v>964</v>
      </c>
      <c r="J202" s="7" t="s">
        <v>17</v>
      </c>
      <c r="K202" s="13" t="s">
        <v>965</v>
      </c>
      <c r="L202" s="12">
        <f>IFERROR(__xludf.DUMMYFUNCTION("COUNTUNIQUE($B$2:B202)"),201.0)</f>
        <v>201</v>
      </c>
    </row>
    <row r="203" ht="22.5" customHeight="1">
      <c r="A203" s="13" t="s">
        <v>966</v>
      </c>
      <c r="B203" s="13" t="s">
        <v>967</v>
      </c>
      <c r="C203" s="14" t="s">
        <v>968</v>
      </c>
      <c r="D203" s="8">
        <v>1.0</v>
      </c>
      <c r="E203" s="7" t="s">
        <v>14</v>
      </c>
      <c r="F203" s="9">
        <v>46045.0</v>
      </c>
      <c r="G203" s="15">
        <v>0.71875</v>
      </c>
      <c r="H203" s="11">
        <f t="shared" si="1"/>
        <v>0.7291666667</v>
      </c>
      <c r="I203" s="6" t="s">
        <v>725</v>
      </c>
      <c r="J203" s="7" t="s">
        <v>17</v>
      </c>
      <c r="K203" s="13" t="s">
        <v>969</v>
      </c>
      <c r="L203" s="12">
        <f>IFERROR(__xludf.DUMMYFUNCTION("COUNTUNIQUE($B$2:B203)"),202.0)</f>
        <v>202</v>
      </c>
    </row>
    <row r="204">
      <c r="A204" s="13" t="s">
        <v>970</v>
      </c>
      <c r="B204" s="13" t="s">
        <v>971</v>
      </c>
      <c r="C204" s="14" t="s">
        <v>972</v>
      </c>
      <c r="D204" s="8">
        <v>3.0</v>
      </c>
      <c r="E204" s="7" t="s">
        <v>14</v>
      </c>
      <c r="F204" s="9">
        <v>46045.0</v>
      </c>
      <c r="G204" s="15">
        <v>0.6770833333333334</v>
      </c>
      <c r="H204" s="11">
        <f t="shared" si="1"/>
        <v>0.6875</v>
      </c>
      <c r="I204" s="18" t="s">
        <v>973</v>
      </c>
      <c r="J204" s="7" t="s">
        <v>17</v>
      </c>
      <c r="K204" s="13" t="s">
        <v>974</v>
      </c>
      <c r="L204" s="12">
        <f>IFERROR(__xludf.DUMMYFUNCTION("COUNTUNIQUE($B$2:B204)"),203.0)</f>
        <v>203</v>
      </c>
    </row>
    <row r="205">
      <c r="A205" s="13" t="s">
        <v>975</v>
      </c>
      <c r="B205" s="13" t="s">
        <v>976</v>
      </c>
      <c r="C205" s="14" t="s">
        <v>977</v>
      </c>
      <c r="D205" s="8">
        <v>3.0</v>
      </c>
      <c r="E205" s="7" t="s">
        <v>14</v>
      </c>
      <c r="F205" s="9">
        <v>46045.0</v>
      </c>
      <c r="G205" s="15">
        <v>0.71875</v>
      </c>
      <c r="H205" s="11">
        <f t="shared" si="1"/>
        <v>0.7291666667</v>
      </c>
      <c r="I205" s="6" t="s">
        <v>978</v>
      </c>
      <c r="J205" s="7" t="s">
        <v>17</v>
      </c>
      <c r="K205" s="13" t="s">
        <v>979</v>
      </c>
      <c r="L205" s="12">
        <f>IFERROR(__xludf.DUMMYFUNCTION("COUNTUNIQUE($B$2:B205)"),204.0)</f>
        <v>204</v>
      </c>
    </row>
    <row r="206">
      <c r="A206" s="13" t="s">
        <v>980</v>
      </c>
      <c r="B206" s="13" t="s">
        <v>697</v>
      </c>
      <c r="C206" s="14" t="s">
        <v>698</v>
      </c>
      <c r="D206" s="8">
        <v>3.0</v>
      </c>
      <c r="E206" s="7" t="s">
        <v>14</v>
      </c>
      <c r="F206" s="9">
        <v>46045.0</v>
      </c>
      <c r="G206" s="15">
        <v>0.7395833333333334</v>
      </c>
      <c r="H206" s="11">
        <f t="shared" si="1"/>
        <v>0.75</v>
      </c>
      <c r="I206" s="18" t="s">
        <v>942</v>
      </c>
      <c r="J206" s="7" t="s">
        <v>17</v>
      </c>
      <c r="K206" s="13" t="s">
        <v>981</v>
      </c>
      <c r="L206" s="12">
        <f>IFERROR(__xludf.DUMMYFUNCTION("COUNTUNIQUE($B$2:B206)"),204.0)</f>
        <v>204</v>
      </c>
    </row>
    <row r="207">
      <c r="A207" s="13" t="s">
        <v>982</v>
      </c>
      <c r="B207" s="13" t="s">
        <v>983</v>
      </c>
      <c r="C207" s="14" t="s">
        <v>984</v>
      </c>
      <c r="D207" s="8">
        <v>4.0</v>
      </c>
      <c r="E207" s="7" t="s">
        <v>14</v>
      </c>
      <c r="F207" s="9">
        <v>46045.0</v>
      </c>
      <c r="G207" s="15">
        <v>0.6458333333333334</v>
      </c>
      <c r="H207" s="11">
        <f t="shared" si="1"/>
        <v>0.65625</v>
      </c>
      <c r="I207" s="23" t="s">
        <v>985</v>
      </c>
      <c r="J207" s="7" t="s">
        <v>17</v>
      </c>
      <c r="K207" s="13" t="s">
        <v>986</v>
      </c>
      <c r="L207" s="12">
        <f>IFERROR(__xludf.DUMMYFUNCTION("COUNTUNIQUE($B$2:B207)"),205.0)</f>
        <v>205</v>
      </c>
    </row>
    <row r="208">
      <c r="A208" s="13" t="s">
        <v>987</v>
      </c>
      <c r="B208" s="13" t="s">
        <v>988</v>
      </c>
      <c r="C208" s="14" t="s">
        <v>989</v>
      </c>
      <c r="D208" s="8">
        <v>4.0</v>
      </c>
      <c r="E208" s="7" t="s">
        <v>14</v>
      </c>
      <c r="F208" s="9">
        <v>46045.0</v>
      </c>
      <c r="G208" s="15">
        <v>0.6875</v>
      </c>
      <c r="H208" s="11">
        <f t="shared" si="1"/>
        <v>0.6979166667</v>
      </c>
      <c r="I208" s="18" t="s">
        <v>739</v>
      </c>
      <c r="J208" s="7" t="s">
        <v>17</v>
      </c>
      <c r="K208" s="13" t="s">
        <v>990</v>
      </c>
      <c r="L208" s="12">
        <f>IFERROR(__xludf.DUMMYFUNCTION("COUNTUNIQUE($B$2:B208)"),206.0)</f>
        <v>206</v>
      </c>
    </row>
    <row r="209">
      <c r="A209" s="13" t="s">
        <v>991</v>
      </c>
      <c r="B209" s="13" t="s">
        <v>992</v>
      </c>
      <c r="C209" s="14" t="s">
        <v>993</v>
      </c>
      <c r="D209" s="8">
        <v>4.0</v>
      </c>
      <c r="E209" s="7" t="s">
        <v>14</v>
      </c>
      <c r="F209" s="9">
        <v>46045.0</v>
      </c>
      <c r="G209" s="15">
        <v>0.6979166666666666</v>
      </c>
      <c r="H209" s="11">
        <f t="shared" si="1"/>
        <v>0.7083333333</v>
      </c>
      <c r="I209" s="6" t="s">
        <v>816</v>
      </c>
      <c r="J209" s="7" t="s">
        <v>17</v>
      </c>
      <c r="K209" s="13" t="s">
        <v>994</v>
      </c>
      <c r="L209" s="12">
        <f>IFERROR(__xludf.DUMMYFUNCTION("COUNTUNIQUE($B$2:B209)"),207.0)</f>
        <v>207</v>
      </c>
    </row>
    <row r="210">
      <c r="A210" s="13" t="s">
        <v>995</v>
      </c>
      <c r="B210" s="13" t="s">
        <v>996</v>
      </c>
      <c r="C210" s="14" t="s">
        <v>997</v>
      </c>
      <c r="D210" s="8">
        <v>4.0</v>
      </c>
      <c r="E210" s="7" t="s">
        <v>14</v>
      </c>
      <c r="F210" s="9">
        <v>46045.0</v>
      </c>
      <c r="G210" s="15">
        <v>0.71875</v>
      </c>
      <c r="H210" s="11">
        <f t="shared" si="1"/>
        <v>0.7291666667</v>
      </c>
      <c r="I210" s="6" t="s">
        <v>998</v>
      </c>
      <c r="J210" s="7" t="s">
        <v>17</v>
      </c>
      <c r="K210" s="13" t="s">
        <v>999</v>
      </c>
      <c r="L210" s="12">
        <f>IFERROR(__xludf.DUMMYFUNCTION("COUNTUNIQUE($B$2:B210)"),208.0)</f>
        <v>208</v>
      </c>
    </row>
    <row r="211">
      <c r="A211" s="13" t="s">
        <v>1000</v>
      </c>
      <c r="B211" s="13" t="s">
        <v>1001</v>
      </c>
      <c r="C211" s="14" t="s">
        <v>1002</v>
      </c>
      <c r="D211" s="8">
        <v>4.0</v>
      </c>
      <c r="E211" s="7" t="s">
        <v>14</v>
      </c>
      <c r="F211" s="9">
        <v>46045.0</v>
      </c>
      <c r="G211" s="15">
        <v>0.75</v>
      </c>
      <c r="H211" s="11">
        <f t="shared" si="1"/>
        <v>0.7604166667</v>
      </c>
      <c r="I211" s="13" t="s">
        <v>1003</v>
      </c>
      <c r="J211" s="7" t="s">
        <v>17</v>
      </c>
      <c r="K211" s="13" t="s">
        <v>1004</v>
      </c>
      <c r="L211" s="12">
        <f>IFERROR(__xludf.DUMMYFUNCTION("COUNTUNIQUE($B$2:B211)"),209.0)</f>
        <v>209</v>
      </c>
    </row>
    <row r="212">
      <c r="A212" s="24"/>
      <c r="B212" s="24"/>
      <c r="F212" s="25"/>
      <c r="G212" s="26"/>
      <c r="K212" s="24"/>
    </row>
    <row r="213">
      <c r="A213" s="24"/>
      <c r="B213" s="24"/>
      <c r="F213" s="27"/>
      <c r="K213" s="24"/>
    </row>
    <row r="214">
      <c r="A214" s="24"/>
      <c r="B214" s="24"/>
      <c r="F214" s="27"/>
      <c r="K214" s="24"/>
    </row>
    <row r="215">
      <c r="A215" s="24"/>
      <c r="B215" s="24"/>
      <c r="F215" s="27"/>
      <c r="K215" s="24"/>
    </row>
    <row r="216">
      <c r="A216" s="24"/>
      <c r="B216" s="24"/>
      <c r="F216" s="27"/>
      <c r="K216" s="24"/>
    </row>
    <row r="217">
      <c r="A217" s="24"/>
      <c r="B217" s="24"/>
      <c r="F217" s="27"/>
      <c r="K217" s="24"/>
    </row>
    <row r="218">
      <c r="A218" s="24"/>
      <c r="B218" s="24"/>
      <c r="F218" s="27"/>
      <c r="K218" s="24"/>
    </row>
    <row r="219">
      <c r="A219" s="24"/>
      <c r="B219" s="24"/>
      <c r="F219" s="27"/>
      <c r="K219" s="24"/>
    </row>
    <row r="220">
      <c r="A220" s="24"/>
      <c r="B220" s="24"/>
      <c r="F220" s="27"/>
      <c r="K220" s="24"/>
    </row>
    <row r="221">
      <c r="A221" s="24"/>
      <c r="B221" s="24"/>
      <c r="F221" s="27"/>
      <c r="K221" s="24"/>
    </row>
    <row r="222">
      <c r="A222" s="24"/>
      <c r="B222" s="24"/>
      <c r="F222" s="27"/>
      <c r="K222" s="24"/>
    </row>
    <row r="223">
      <c r="A223" s="24"/>
      <c r="B223" s="24"/>
      <c r="F223" s="27"/>
      <c r="K223" s="24"/>
    </row>
    <row r="224">
      <c r="A224" s="24"/>
      <c r="B224" s="24"/>
      <c r="F224" s="27"/>
      <c r="K224" s="24"/>
    </row>
    <row r="225">
      <c r="A225" s="24"/>
      <c r="B225" s="24"/>
      <c r="F225" s="27"/>
      <c r="K225" s="24"/>
    </row>
    <row r="226">
      <c r="A226" s="24"/>
      <c r="B226" s="24"/>
      <c r="F226" s="27"/>
      <c r="K226" s="24"/>
    </row>
    <row r="227">
      <c r="A227" s="24"/>
      <c r="B227" s="24"/>
      <c r="F227" s="27"/>
      <c r="K227" s="24"/>
    </row>
    <row r="228">
      <c r="A228" s="24"/>
      <c r="B228" s="24"/>
      <c r="F228" s="27"/>
      <c r="K228" s="24"/>
    </row>
    <row r="229">
      <c r="A229" s="24"/>
      <c r="B229" s="24"/>
      <c r="F229" s="27"/>
      <c r="K229" s="24"/>
    </row>
    <row r="230">
      <c r="A230" s="24"/>
      <c r="B230" s="24"/>
      <c r="F230" s="27"/>
      <c r="K230" s="24"/>
    </row>
    <row r="231">
      <c r="A231" s="24"/>
      <c r="B231" s="24"/>
      <c r="F231" s="27"/>
      <c r="K231" s="24"/>
    </row>
    <row r="232">
      <c r="A232" s="24"/>
      <c r="B232" s="24"/>
      <c r="F232" s="27"/>
      <c r="K232" s="24"/>
    </row>
    <row r="233">
      <c r="A233" s="24"/>
      <c r="B233" s="24"/>
      <c r="F233" s="27"/>
      <c r="K233" s="24"/>
    </row>
    <row r="234">
      <c r="A234" s="24"/>
      <c r="B234" s="24"/>
      <c r="F234" s="27"/>
      <c r="K234" s="24"/>
    </row>
    <row r="235">
      <c r="A235" s="24"/>
      <c r="B235" s="24"/>
      <c r="F235" s="27"/>
      <c r="K235" s="24"/>
    </row>
    <row r="236">
      <c r="A236" s="24"/>
      <c r="B236" s="24"/>
      <c r="F236" s="27"/>
      <c r="K236" s="24"/>
    </row>
    <row r="237">
      <c r="A237" s="24"/>
      <c r="B237" s="24"/>
      <c r="F237" s="27"/>
      <c r="K237" s="24"/>
    </row>
    <row r="238">
      <c r="A238" s="24"/>
      <c r="B238" s="24"/>
      <c r="F238" s="27"/>
      <c r="K238" s="24"/>
    </row>
    <row r="239">
      <c r="A239" s="24"/>
      <c r="B239" s="24"/>
      <c r="F239" s="27"/>
      <c r="K239" s="24"/>
    </row>
    <row r="240">
      <c r="A240" s="24"/>
      <c r="B240" s="24"/>
      <c r="F240" s="27"/>
      <c r="K240" s="24"/>
    </row>
    <row r="241">
      <c r="A241" s="24"/>
      <c r="B241" s="24"/>
      <c r="F241" s="27"/>
      <c r="K241" s="24"/>
    </row>
    <row r="242">
      <c r="A242" s="24"/>
      <c r="B242" s="24"/>
      <c r="F242" s="27"/>
      <c r="K242" s="24"/>
    </row>
    <row r="243">
      <c r="A243" s="24"/>
      <c r="B243" s="24"/>
      <c r="F243" s="27"/>
      <c r="K243" s="24"/>
    </row>
    <row r="244">
      <c r="A244" s="24"/>
      <c r="B244" s="24"/>
      <c r="F244" s="27"/>
      <c r="K244" s="24"/>
    </row>
    <row r="245">
      <c r="A245" s="24"/>
      <c r="B245" s="24"/>
      <c r="F245" s="27"/>
      <c r="K245" s="24"/>
    </row>
    <row r="246">
      <c r="A246" s="24"/>
      <c r="B246" s="24"/>
      <c r="F246" s="27"/>
      <c r="K246" s="24"/>
    </row>
    <row r="247">
      <c r="A247" s="24"/>
      <c r="B247" s="24"/>
      <c r="F247" s="27"/>
      <c r="K247" s="24"/>
    </row>
    <row r="248">
      <c r="A248" s="24"/>
      <c r="B248" s="24"/>
      <c r="F248" s="27"/>
      <c r="K248" s="24"/>
    </row>
    <row r="249">
      <c r="A249" s="24"/>
      <c r="B249" s="24"/>
      <c r="F249" s="27"/>
      <c r="K249" s="24"/>
    </row>
    <row r="250">
      <c r="A250" s="24"/>
      <c r="B250" s="24"/>
      <c r="F250" s="27"/>
      <c r="K250" s="24"/>
    </row>
    <row r="251">
      <c r="A251" s="24"/>
      <c r="B251" s="24"/>
      <c r="F251" s="27"/>
      <c r="K251" s="24"/>
    </row>
    <row r="252">
      <c r="A252" s="24"/>
      <c r="B252" s="24"/>
      <c r="F252" s="27"/>
      <c r="K252" s="24"/>
    </row>
    <row r="253">
      <c r="A253" s="24"/>
      <c r="B253" s="24"/>
      <c r="F253" s="27"/>
      <c r="K253" s="24"/>
    </row>
    <row r="254">
      <c r="A254" s="24"/>
      <c r="B254" s="24"/>
      <c r="F254" s="27"/>
      <c r="K254" s="24"/>
    </row>
    <row r="255">
      <c r="A255" s="24"/>
      <c r="B255" s="24"/>
      <c r="F255" s="27"/>
      <c r="K255" s="24"/>
    </row>
    <row r="256">
      <c r="A256" s="24"/>
      <c r="B256" s="24"/>
      <c r="F256" s="27"/>
      <c r="K256" s="24"/>
    </row>
    <row r="257">
      <c r="A257" s="24"/>
      <c r="B257" s="24"/>
      <c r="F257" s="27"/>
      <c r="K257" s="24"/>
    </row>
    <row r="258">
      <c r="A258" s="24"/>
      <c r="B258" s="24"/>
      <c r="F258" s="27"/>
      <c r="K258" s="24"/>
    </row>
    <row r="259">
      <c r="A259" s="24"/>
      <c r="B259" s="24"/>
      <c r="F259" s="27"/>
      <c r="K259" s="24"/>
    </row>
    <row r="260">
      <c r="A260" s="24"/>
      <c r="B260" s="24"/>
      <c r="F260" s="27"/>
      <c r="K260" s="24"/>
    </row>
    <row r="261">
      <c r="A261" s="24"/>
      <c r="B261" s="24"/>
      <c r="F261" s="27"/>
      <c r="K261" s="24"/>
    </row>
    <row r="262">
      <c r="A262" s="24"/>
      <c r="B262" s="24"/>
      <c r="F262" s="27"/>
      <c r="K262" s="24"/>
    </row>
    <row r="263">
      <c r="A263" s="24"/>
      <c r="B263" s="24"/>
      <c r="F263" s="27"/>
      <c r="K263" s="24"/>
    </row>
    <row r="264">
      <c r="A264" s="24"/>
      <c r="B264" s="24"/>
      <c r="F264" s="27"/>
      <c r="K264" s="24"/>
    </row>
    <row r="265">
      <c r="A265" s="24"/>
      <c r="B265" s="24"/>
      <c r="F265" s="27"/>
      <c r="K265" s="24"/>
    </row>
    <row r="266">
      <c r="A266" s="24"/>
      <c r="B266" s="24"/>
      <c r="F266" s="27"/>
      <c r="K266" s="24"/>
    </row>
    <row r="267">
      <c r="A267" s="24"/>
      <c r="B267" s="24"/>
      <c r="F267" s="27"/>
      <c r="K267" s="24"/>
    </row>
    <row r="268">
      <c r="A268" s="24"/>
      <c r="B268" s="24"/>
      <c r="F268" s="27"/>
      <c r="K268" s="24"/>
    </row>
    <row r="269">
      <c r="A269" s="24"/>
      <c r="B269" s="24"/>
      <c r="F269" s="27"/>
      <c r="K269" s="24"/>
    </row>
    <row r="270">
      <c r="A270" s="24"/>
      <c r="B270" s="24"/>
      <c r="F270" s="27"/>
      <c r="K270" s="24"/>
    </row>
    <row r="271">
      <c r="A271" s="24"/>
      <c r="B271" s="24"/>
      <c r="F271" s="27"/>
      <c r="K271" s="24"/>
    </row>
    <row r="272">
      <c r="A272" s="24"/>
      <c r="B272" s="24"/>
      <c r="F272" s="27"/>
      <c r="K272" s="24"/>
    </row>
    <row r="273">
      <c r="A273" s="24"/>
      <c r="B273" s="24"/>
      <c r="F273" s="27"/>
      <c r="K273" s="24"/>
    </row>
    <row r="274">
      <c r="A274" s="24"/>
      <c r="B274" s="24"/>
      <c r="F274" s="27"/>
      <c r="K274" s="24"/>
    </row>
    <row r="275">
      <c r="A275" s="24"/>
      <c r="B275" s="24"/>
      <c r="F275" s="27"/>
      <c r="K275" s="24"/>
    </row>
    <row r="276">
      <c r="A276" s="24"/>
      <c r="B276" s="24"/>
      <c r="F276" s="27"/>
      <c r="K276" s="24"/>
    </row>
    <row r="277">
      <c r="A277" s="24"/>
      <c r="B277" s="24"/>
      <c r="F277" s="27"/>
      <c r="K277" s="24"/>
    </row>
    <row r="278">
      <c r="A278" s="24"/>
      <c r="B278" s="24"/>
      <c r="F278" s="27"/>
      <c r="K278" s="24"/>
    </row>
    <row r="279">
      <c r="A279" s="24"/>
      <c r="B279" s="24"/>
      <c r="F279" s="27"/>
      <c r="K279" s="24"/>
    </row>
    <row r="280">
      <c r="A280" s="24"/>
      <c r="B280" s="24"/>
      <c r="F280" s="27"/>
      <c r="K280" s="24"/>
    </row>
    <row r="281">
      <c r="A281" s="24"/>
      <c r="B281" s="24"/>
      <c r="F281" s="27"/>
      <c r="K281" s="24"/>
    </row>
    <row r="282">
      <c r="A282" s="24"/>
      <c r="B282" s="24"/>
      <c r="F282" s="27"/>
      <c r="K282" s="24"/>
    </row>
    <row r="283">
      <c r="A283" s="24"/>
      <c r="B283" s="24"/>
      <c r="F283" s="27"/>
      <c r="K283" s="24"/>
    </row>
    <row r="284">
      <c r="A284" s="24"/>
      <c r="B284" s="24"/>
      <c r="F284" s="27"/>
      <c r="K284" s="24"/>
    </row>
    <row r="285">
      <c r="A285" s="24"/>
      <c r="B285" s="24"/>
      <c r="F285" s="27"/>
      <c r="K285" s="24"/>
    </row>
    <row r="286">
      <c r="A286" s="24"/>
      <c r="B286" s="24"/>
      <c r="F286" s="27"/>
      <c r="K286" s="24"/>
    </row>
    <row r="287">
      <c r="A287" s="24"/>
      <c r="B287" s="24"/>
      <c r="F287" s="27"/>
      <c r="K287" s="24"/>
    </row>
    <row r="288">
      <c r="A288" s="24"/>
      <c r="B288" s="24"/>
      <c r="F288" s="27"/>
      <c r="K288" s="24"/>
    </row>
    <row r="289">
      <c r="A289" s="24"/>
      <c r="B289" s="24"/>
      <c r="F289" s="27"/>
      <c r="K289" s="24"/>
    </row>
    <row r="290">
      <c r="A290" s="24"/>
      <c r="B290" s="24"/>
      <c r="F290" s="27"/>
      <c r="K290" s="24"/>
    </row>
    <row r="291">
      <c r="A291" s="24"/>
      <c r="B291" s="24"/>
      <c r="F291" s="27"/>
      <c r="K291" s="24"/>
    </row>
    <row r="292">
      <c r="A292" s="24"/>
      <c r="B292" s="24"/>
      <c r="F292" s="27"/>
      <c r="K292" s="24"/>
    </row>
    <row r="293">
      <c r="A293" s="24"/>
      <c r="B293" s="24"/>
      <c r="F293" s="27"/>
      <c r="K293" s="24"/>
    </row>
    <row r="294">
      <c r="A294" s="24"/>
      <c r="B294" s="24"/>
      <c r="F294" s="27"/>
      <c r="K294" s="24"/>
    </row>
    <row r="295">
      <c r="A295" s="24"/>
      <c r="B295" s="24"/>
      <c r="F295" s="27"/>
      <c r="K295" s="24"/>
    </row>
    <row r="296">
      <c r="A296" s="24"/>
      <c r="B296" s="24"/>
      <c r="F296" s="27"/>
      <c r="K296" s="24"/>
    </row>
    <row r="297">
      <c r="A297" s="24"/>
      <c r="B297" s="24"/>
      <c r="F297" s="27"/>
      <c r="K297" s="24"/>
    </row>
    <row r="298">
      <c r="A298" s="24"/>
      <c r="B298" s="24"/>
      <c r="F298" s="27"/>
      <c r="K298" s="24"/>
    </row>
    <row r="299">
      <c r="A299" s="24"/>
      <c r="B299" s="24"/>
      <c r="F299" s="27"/>
      <c r="K299" s="24"/>
    </row>
    <row r="300">
      <c r="A300" s="24"/>
      <c r="B300" s="24"/>
      <c r="F300" s="27"/>
      <c r="K300" s="24"/>
    </row>
    <row r="301">
      <c r="A301" s="24"/>
      <c r="B301" s="24"/>
      <c r="F301" s="27"/>
      <c r="K301" s="24"/>
    </row>
    <row r="302">
      <c r="A302" s="24"/>
      <c r="B302" s="24"/>
      <c r="F302" s="27"/>
      <c r="K302" s="24"/>
    </row>
    <row r="303">
      <c r="A303" s="24"/>
      <c r="B303" s="24"/>
      <c r="F303" s="27"/>
      <c r="K303" s="24"/>
    </row>
    <row r="304">
      <c r="A304" s="24"/>
      <c r="B304" s="24"/>
      <c r="F304" s="27"/>
      <c r="K304" s="24"/>
    </row>
    <row r="305">
      <c r="A305" s="24"/>
      <c r="B305" s="24"/>
      <c r="F305" s="27"/>
      <c r="K305" s="24"/>
    </row>
    <row r="306">
      <c r="A306" s="24"/>
      <c r="B306" s="24"/>
      <c r="F306" s="27"/>
      <c r="K306" s="24"/>
    </row>
    <row r="307">
      <c r="A307" s="24"/>
      <c r="B307" s="24"/>
      <c r="F307" s="27"/>
      <c r="K307" s="24"/>
    </row>
    <row r="308">
      <c r="A308" s="24"/>
      <c r="B308" s="24"/>
      <c r="F308" s="27"/>
      <c r="K308" s="24"/>
    </row>
    <row r="309">
      <c r="A309" s="24"/>
      <c r="B309" s="24"/>
      <c r="F309" s="27"/>
      <c r="K309" s="24"/>
    </row>
    <row r="310">
      <c r="A310" s="24"/>
      <c r="B310" s="24"/>
      <c r="F310" s="27"/>
      <c r="K310" s="24"/>
    </row>
    <row r="311">
      <c r="A311" s="24"/>
      <c r="B311" s="24"/>
      <c r="F311" s="27"/>
      <c r="K311" s="24"/>
    </row>
    <row r="312">
      <c r="A312" s="24"/>
      <c r="B312" s="24"/>
      <c r="F312" s="27"/>
      <c r="K312" s="24"/>
    </row>
    <row r="313">
      <c r="A313" s="24"/>
      <c r="B313" s="24"/>
      <c r="F313" s="27"/>
      <c r="K313" s="24"/>
    </row>
    <row r="314">
      <c r="A314" s="24"/>
      <c r="B314" s="24"/>
      <c r="F314" s="27"/>
      <c r="K314" s="24"/>
    </row>
    <row r="315">
      <c r="A315" s="24"/>
      <c r="B315" s="24"/>
      <c r="F315" s="27"/>
      <c r="K315" s="24"/>
    </row>
    <row r="316">
      <c r="A316" s="24"/>
      <c r="B316" s="24"/>
      <c r="F316" s="27"/>
      <c r="K316" s="24"/>
    </row>
    <row r="317">
      <c r="A317" s="24"/>
      <c r="B317" s="24"/>
      <c r="F317" s="27"/>
      <c r="K317" s="24"/>
    </row>
    <row r="318">
      <c r="A318" s="24"/>
      <c r="B318" s="24"/>
      <c r="F318" s="27"/>
      <c r="K318" s="24"/>
    </row>
    <row r="319">
      <c r="A319" s="24"/>
      <c r="B319" s="24"/>
      <c r="F319" s="27"/>
      <c r="K319" s="24"/>
    </row>
    <row r="320">
      <c r="A320" s="24"/>
      <c r="B320" s="24"/>
      <c r="F320" s="27"/>
      <c r="K320" s="24"/>
    </row>
    <row r="321">
      <c r="A321" s="24"/>
      <c r="B321" s="24"/>
      <c r="F321" s="27"/>
      <c r="K321" s="24"/>
    </row>
    <row r="322">
      <c r="A322" s="24"/>
      <c r="B322" s="24"/>
      <c r="F322" s="27"/>
      <c r="K322" s="24"/>
    </row>
    <row r="323">
      <c r="A323" s="24"/>
      <c r="B323" s="24"/>
      <c r="F323" s="27"/>
      <c r="K323" s="24"/>
    </row>
    <row r="324">
      <c r="A324" s="24"/>
      <c r="B324" s="24"/>
      <c r="F324" s="27"/>
      <c r="K324" s="24"/>
    </row>
    <row r="325">
      <c r="A325" s="24"/>
      <c r="B325" s="24"/>
      <c r="F325" s="27"/>
      <c r="K325" s="24"/>
    </row>
    <row r="326">
      <c r="A326" s="24"/>
      <c r="B326" s="24"/>
      <c r="F326" s="27"/>
      <c r="K326" s="24"/>
    </row>
    <row r="327">
      <c r="A327" s="24"/>
      <c r="B327" s="24"/>
      <c r="F327" s="27"/>
      <c r="K327" s="24"/>
    </row>
    <row r="328">
      <c r="A328" s="24"/>
      <c r="B328" s="24"/>
      <c r="F328" s="27"/>
      <c r="K328" s="24"/>
    </row>
    <row r="329">
      <c r="A329" s="24"/>
      <c r="B329" s="24"/>
      <c r="F329" s="27"/>
      <c r="K329" s="24"/>
    </row>
    <row r="330">
      <c r="A330" s="24"/>
      <c r="B330" s="24"/>
      <c r="F330" s="27"/>
      <c r="K330" s="24"/>
    </row>
    <row r="331">
      <c r="A331" s="24"/>
      <c r="B331" s="24"/>
      <c r="F331" s="27"/>
      <c r="K331" s="24"/>
    </row>
    <row r="332">
      <c r="A332" s="24"/>
      <c r="B332" s="24"/>
      <c r="F332" s="27"/>
      <c r="K332" s="24"/>
    </row>
    <row r="333">
      <c r="A333" s="24"/>
      <c r="B333" s="24"/>
      <c r="F333" s="27"/>
      <c r="K333" s="24"/>
    </row>
    <row r="334">
      <c r="A334" s="24"/>
      <c r="B334" s="24"/>
      <c r="F334" s="27"/>
      <c r="K334" s="24"/>
    </row>
    <row r="335">
      <c r="A335" s="24"/>
      <c r="B335" s="24"/>
      <c r="F335" s="27"/>
      <c r="K335" s="24"/>
    </row>
    <row r="336">
      <c r="A336" s="24"/>
      <c r="B336" s="24"/>
      <c r="F336" s="27"/>
      <c r="K336" s="24"/>
    </row>
    <row r="337">
      <c r="A337" s="24"/>
      <c r="B337" s="24"/>
      <c r="F337" s="27"/>
      <c r="K337" s="24"/>
    </row>
    <row r="338">
      <c r="A338" s="24"/>
      <c r="B338" s="24"/>
      <c r="F338" s="27"/>
      <c r="K338" s="24"/>
    </row>
    <row r="339">
      <c r="A339" s="24"/>
      <c r="B339" s="24"/>
      <c r="F339" s="27"/>
      <c r="K339" s="24"/>
    </row>
    <row r="340">
      <c r="A340" s="24"/>
      <c r="B340" s="24"/>
      <c r="F340" s="27"/>
      <c r="K340" s="24"/>
    </row>
    <row r="341">
      <c r="A341" s="24"/>
      <c r="B341" s="24"/>
      <c r="F341" s="27"/>
      <c r="K341" s="24"/>
    </row>
    <row r="342">
      <c r="A342" s="24"/>
      <c r="B342" s="24"/>
      <c r="F342" s="27"/>
      <c r="K342" s="24"/>
    </row>
    <row r="343">
      <c r="A343" s="24"/>
      <c r="B343" s="24"/>
      <c r="F343" s="27"/>
      <c r="K343" s="24"/>
    </row>
    <row r="344">
      <c r="A344" s="24"/>
      <c r="B344" s="24"/>
      <c r="F344" s="27"/>
      <c r="K344" s="24"/>
    </row>
    <row r="345">
      <c r="A345" s="24"/>
      <c r="B345" s="24"/>
      <c r="F345" s="27"/>
      <c r="K345" s="24"/>
    </row>
    <row r="346">
      <c r="A346" s="24"/>
      <c r="B346" s="24"/>
      <c r="F346" s="27"/>
      <c r="K346" s="24"/>
    </row>
    <row r="347">
      <c r="A347" s="24"/>
      <c r="B347" s="24"/>
      <c r="F347" s="27"/>
      <c r="K347" s="24"/>
    </row>
    <row r="348">
      <c r="A348" s="24"/>
      <c r="B348" s="24"/>
      <c r="F348" s="27"/>
      <c r="K348" s="24"/>
    </row>
    <row r="349">
      <c r="A349" s="24"/>
      <c r="B349" s="24"/>
      <c r="F349" s="27"/>
      <c r="K349" s="24"/>
    </row>
    <row r="350">
      <c r="A350" s="24"/>
      <c r="B350" s="24"/>
      <c r="F350" s="27"/>
      <c r="K350" s="24"/>
    </row>
    <row r="351">
      <c r="A351" s="24"/>
      <c r="B351" s="24"/>
      <c r="F351" s="27"/>
      <c r="K351" s="24"/>
    </row>
    <row r="352">
      <c r="A352" s="24"/>
      <c r="B352" s="24"/>
      <c r="F352" s="27"/>
      <c r="K352" s="24"/>
    </row>
    <row r="353">
      <c r="A353" s="24"/>
      <c r="B353" s="24"/>
      <c r="F353" s="27"/>
      <c r="K353" s="24"/>
    </row>
    <row r="354">
      <c r="A354" s="24"/>
      <c r="B354" s="24"/>
      <c r="F354" s="27"/>
      <c r="K354" s="24"/>
    </row>
    <row r="355">
      <c r="A355" s="24"/>
      <c r="B355" s="24"/>
      <c r="F355" s="27"/>
      <c r="K355" s="24"/>
    </row>
    <row r="356">
      <c r="A356" s="24"/>
      <c r="B356" s="24"/>
      <c r="F356" s="27"/>
      <c r="K356" s="24"/>
    </row>
    <row r="357">
      <c r="A357" s="24"/>
      <c r="B357" s="24"/>
      <c r="F357" s="27"/>
      <c r="K357" s="24"/>
    </row>
    <row r="358">
      <c r="A358" s="24"/>
      <c r="B358" s="24"/>
      <c r="F358" s="27"/>
      <c r="K358" s="24"/>
    </row>
    <row r="359">
      <c r="A359" s="24"/>
      <c r="B359" s="24"/>
      <c r="F359" s="27"/>
      <c r="K359" s="24"/>
    </row>
    <row r="360">
      <c r="A360" s="24"/>
      <c r="B360" s="24"/>
      <c r="F360" s="27"/>
      <c r="K360" s="24"/>
    </row>
    <row r="361">
      <c r="A361" s="24"/>
      <c r="B361" s="24"/>
      <c r="F361" s="27"/>
      <c r="K361" s="24"/>
    </row>
    <row r="362">
      <c r="A362" s="24"/>
      <c r="B362" s="24"/>
      <c r="F362" s="27"/>
      <c r="K362" s="24"/>
    </row>
    <row r="363">
      <c r="A363" s="24"/>
      <c r="B363" s="24"/>
      <c r="F363" s="27"/>
      <c r="K363" s="24"/>
    </row>
    <row r="364">
      <c r="A364" s="24"/>
      <c r="B364" s="24"/>
      <c r="F364" s="27"/>
      <c r="K364" s="24"/>
    </row>
    <row r="365">
      <c r="A365" s="24"/>
      <c r="B365" s="24"/>
      <c r="F365" s="27"/>
      <c r="K365" s="24"/>
    </row>
    <row r="366">
      <c r="A366" s="24"/>
      <c r="B366" s="24"/>
      <c r="F366" s="27"/>
      <c r="K366" s="24"/>
    </row>
    <row r="367">
      <c r="A367" s="24"/>
      <c r="B367" s="24"/>
      <c r="F367" s="27"/>
      <c r="K367" s="24"/>
    </row>
    <row r="368">
      <c r="A368" s="24"/>
      <c r="B368" s="24"/>
      <c r="F368" s="27"/>
      <c r="K368" s="24"/>
    </row>
    <row r="369">
      <c r="A369" s="24"/>
      <c r="B369" s="24"/>
      <c r="F369" s="27"/>
      <c r="K369" s="24"/>
    </row>
    <row r="370">
      <c r="A370" s="24"/>
      <c r="B370" s="24"/>
      <c r="F370" s="27"/>
      <c r="K370" s="24"/>
    </row>
    <row r="371">
      <c r="A371" s="24"/>
      <c r="B371" s="24"/>
      <c r="F371" s="27"/>
      <c r="K371" s="24"/>
    </row>
    <row r="372">
      <c r="A372" s="24"/>
      <c r="B372" s="24"/>
      <c r="F372" s="27"/>
      <c r="K372" s="24"/>
    </row>
    <row r="373">
      <c r="A373" s="24"/>
      <c r="B373" s="24"/>
      <c r="F373" s="27"/>
      <c r="K373" s="24"/>
    </row>
    <row r="374">
      <c r="A374" s="24"/>
      <c r="B374" s="24"/>
      <c r="F374" s="27"/>
      <c r="K374" s="24"/>
    </row>
    <row r="375">
      <c r="A375" s="24"/>
      <c r="B375" s="24"/>
      <c r="F375" s="27"/>
      <c r="K375" s="24"/>
    </row>
    <row r="376">
      <c r="A376" s="24"/>
      <c r="B376" s="24"/>
      <c r="F376" s="27"/>
      <c r="K376" s="24"/>
    </row>
    <row r="377">
      <c r="A377" s="24"/>
      <c r="B377" s="24"/>
      <c r="F377" s="27"/>
      <c r="K377" s="24"/>
    </row>
    <row r="378">
      <c r="A378" s="24"/>
      <c r="B378" s="24"/>
      <c r="F378" s="27"/>
      <c r="K378" s="24"/>
    </row>
    <row r="379">
      <c r="A379" s="24"/>
      <c r="B379" s="24"/>
      <c r="F379" s="27"/>
      <c r="K379" s="24"/>
    </row>
    <row r="380">
      <c r="A380" s="24"/>
      <c r="B380" s="24"/>
      <c r="F380" s="27"/>
      <c r="K380" s="24"/>
    </row>
    <row r="381">
      <c r="A381" s="24"/>
      <c r="B381" s="24"/>
      <c r="F381" s="27"/>
      <c r="K381" s="24"/>
    </row>
    <row r="382">
      <c r="A382" s="24"/>
      <c r="B382" s="24"/>
      <c r="F382" s="27"/>
      <c r="K382" s="24"/>
    </row>
    <row r="383">
      <c r="A383" s="24"/>
      <c r="B383" s="24"/>
      <c r="F383" s="27"/>
      <c r="K383" s="24"/>
    </row>
    <row r="384">
      <c r="A384" s="24"/>
      <c r="B384" s="24"/>
      <c r="F384" s="27"/>
      <c r="K384" s="24"/>
    </row>
    <row r="385">
      <c r="A385" s="24"/>
      <c r="B385" s="24"/>
      <c r="F385" s="27"/>
      <c r="K385" s="24"/>
    </row>
    <row r="386">
      <c r="A386" s="24"/>
      <c r="B386" s="24"/>
      <c r="F386" s="27"/>
      <c r="K386" s="24"/>
    </row>
    <row r="387">
      <c r="A387" s="24"/>
      <c r="B387" s="24"/>
      <c r="F387" s="27"/>
      <c r="K387" s="24"/>
    </row>
    <row r="388">
      <c r="A388" s="24"/>
      <c r="B388" s="24"/>
      <c r="F388" s="27"/>
      <c r="K388" s="24"/>
    </row>
    <row r="389">
      <c r="A389" s="24"/>
      <c r="B389" s="24"/>
      <c r="F389" s="27"/>
      <c r="K389" s="24"/>
    </row>
    <row r="390">
      <c r="A390" s="24"/>
      <c r="B390" s="24"/>
      <c r="F390" s="27"/>
      <c r="K390" s="24"/>
    </row>
    <row r="391">
      <c r="A391" s="24"/>
      <c r="B391" s="24"/>
      <c r="F391" s="27"/>
      <c r="K391" s="24"/>
    </row>
    <row r="392">
      <c r="A392" s="24"/>
      <c r="B392" s="24"/>
      <c r="F392" s="27"/>
      <c r="K392" s="24"/>
    </row>
    <row r="393">
      <c r="A393" s="24"/>
      <c r="B393" s="24"/>
      <c r="F393" s="27"/>
      <c r="K393" s="24"/>
    </row>
    <row r="394">
      <c r="A394" s="24"/>
      <c r="B394" s="24"/>
      <c r="F394" s="27"/>
      <c r="K394" s="24"/>
    </row>
    <row r="395">
      <c r="A395" s="24"/>
      <c r="B395" s="24"/>
      <c r="F395" s="27"/>
      <c r="K395" s="24"/>
    </row>
    <row r="396">
      <c r="A396" s="24"/>
      <c r="B396" s="24"/>
      <c r="F396" s="27"/>
      <c r="K396" s="24"/>
    </row>
    <row r="397">
      <c r="A397" s="24"/>
      <c r="B397" s="24"/>
      <c r="F397" s="27"/>
      <c r="K397" s="24"/>
    </row>
    <row r="398">
      <c r="A398" s="24"/>
      <c r="B398" s="24"/>
      <c r="F398" s="27"/>
      <c r="K398" s="24"/>
    </row>
    <row r="399">
      <c r="A399" s="24"/>
      <c r="B399" s="24"/>
      <c r="F399" s="27"/>
      <c r="K399" s="24"/>
    </row>
    <row r="400">
      <c r="A400" s="24"/>
      <c r="B400" s="24"/>
      <c r="F400" s="27"/>
      <c r="K400" s="24"/>
    </row>
    <row r="401">
      <c r="A401" s="24"/>
      <c r="B401" s="24"/>
      <c r="F401" s="27"/>
      <c r="K401" s="24"/>
    </row>
    <row r="402">
      <c r="A402" s="24"/>
      <c r="B402" s="24"/>
      <c r="F402" s="27"/>
      <c r="K402" s="24"/>
    </row>
    <row r="403">
      <c r="A403" s="24"/>
      <c r="B403" s="24"/>
      <c r="F403" s="27"/>
      <c r="K403" s="24"/>
    </row>
    <row r="404">
      <c r="A404" s="24"/>
      <c r="B404" s="24"/>
      <c r="F404" s="27"/>
      <c r="K404" s="24"/>
    </row>
    <row r="405">
      <c r="A405" s="24"/>
      <c r="B405" s="24"/>
      <c r="F405" s="27"/>
      <c r="K405" s="24"/>
    </row>
    <row r="406">
      <c r="A406" s="24"/>
      <c r="B406" s="24"/>
      <c r="F406" s="27"/>
      <c r="K406" s="24"/>
    </row>
    <row r="407">
      <c r="A407" s="24"/>
      <c r="B407" s="24"/>
      <c r="F407" s="27"/>
      <c r="K407" s="24"/>
    </row>
    <row r="408">
      <c r="A408" s="24"/>
      <c r="B408" s="24"/>
      <c r="F408" s="27"/>
      <c r="K408" s="24"/>
    </row>
    <row r="409">
      <c r="A409" s="24"/>
      <c r="B409" s="24"/>
      <c r="F409" s="27"/>
      <c r="K409" s="24"/>
    </row>
    <row r="410">
      <c r="A410" s="24"/>
      <c r="B410" s="24"/>
      <c r="F410" s="27"/>
      <c r="K410" s="24"/>
    </row>
    <row r="411">
      <c r="A411" s="24"/>
      <c r="B411" s="24"/>
      <c r="F411" s="27"/>
      <c r="K411" s="24"/>
    </row>
    <row r="412">
      <c r="A412" s="24"/>
      <c r="B412" s="24"/>
      <c r="F412" s="27"/>
      <c r="K412" s="24"/>
    </row>
    <row r="413">
      <c r="A413" s="24"/>
      <c r="B413" s="24"/>
      <c r="F413" s="27"/>
      <c r="K413" s="24"/>
    </row>
    <row r="414">
      <c r="A414" s="24"/>
      <c r="B414" s="24"/>
      <c r="F414" s="27"/>
      <c r="K414" s="24"/>
    </row>
    <row r="415">
      <c r="A415" s="24"/>
      <c r="B415" s="24"/>
      <c r="F415" s="27"/>
      <c r="K415" s="24"/>
    </row>
    <row r="416">
      <c r="A416" s="24"/>
      <c r="B416" s="24"/>
      <c r="F416" s="27"/>
      <c r="K416" s="24"/>
    </row>
    <row r="417">
      <c r="A417" s="24"/>
      <c r="B417" s="24"/>
      <c r="F417" s="27"/>
      <c r="K417" s="24"/>
    </row>
    <row r="418">
      <c r="A418" s="24"/>
      <c r="B418" s="24"/>
      <c r="F418" s="27"/>
      <c r="K418" s="24"/>
    </row>
    <row r="419">
      <c r="A419" s="24"/>
      <c r="B419" s="24"/>
      <c r="F419" s="27"/>
      <c r="K419" s="24"/>
    </row>
    <row r="420">
      <c r="A420" s="24"/>
      <c r="B420" s="24"/>
      <c r="F420" s="27"/>
      <c r="K420" s="24"/>
    </row>
    <row r="421">
      <c r="A421" s="24"/>
      <c r="B421" s="24"/>
      <c r="F421" s="27"/>
      <c r="K421" s="24"/>
    </row>
    <row r="422">
      <c r="A422" s="24"/>
      <c r="B422" s="24"/>
      <c r="F422" s="27"/>
      <c r="K422" s="24"/>
    </row>
    <row r="423">
      <c r="A423" s="24"/>
      <c r="B423" s="24"/>
      <c r="F423" s="27"/>
      <c r="K423" s="24"/>
    </row>
    <row r="424">
      <c r="A424" s="24"/>
      <c r="B424" s="24"/>
      <c r="F424" s="27"/>
      <c r="K424" s="24"/>
    </row>
    <row r="425">
      <c r="A425" s="24"/>
      <c r="B425" s="24"/>
      <c r="F425" s="27"/>
      <c r="K425" s="24"/>
    </row>
    <row r="426">
      <c r="A426" s="24"/>
      <c r="B426" s="24"/>
      <c r="F426" s="27"/>
      <c r="K426" s="24"/>
    </row>
    <row r="427">
      <c r="A427" s="24"/>
      <c r="B427" s="24"/>
      <c r="F427" s="27"/>
      <c r="K427" s="24"/>
    </row>
    <row r="428">
      <c r="A428" s="24"/>
      <c r="B428" s="24"/>
      <c r="F428" s="27"/>
      <c r="K428" s="24"/>
    </row>
    <row r="429">
      <c r="A429" s="24"/>
      <c r="B429" s="24"/>
      <c r="F429" s="27"/>
      <c r="K429" s="24"/>
    </row>
    <row r="430">
      <c r="A430" s="24"/>
      <c r="B430" s="24"/>
      <c r="F430" s="27"/>
      <c r="K430" s="24"/>
    </row>
    <row r="431">
      <c r="A431" s="24"/>
      <c r="B431" s="24"/>
      <c r="F431" s="27"/>
      <c r="K431" s="24"/>
    </row>
    <row r="432">
      <c r="A432" s="24"/>
      <c r="B432" s="24"/>
      <c r="F432" s="27"/>
      <c r="K432" s="24"/>
    </row>
    <row r="433">
      <c r="A433" s="24"/>
      <c r="B433" s="24"/>
      <c r="F433" s="27"/>
      <c r="K433" s="24"/>
    </row>
    <row r="434">
      <c r="A434" s="24"/>
      <c r="B434" s="24"/>
      <c r="F434" s="27"/>
      <c r="K434" s="24"/>
    </row>
    <row r="435">
      <c r="A435" s="24"/>
      <c r="B435" s="24"/>
      <c r="F435" s="27"/>
      <c r="K435" s="24"/>
    </row>
    <row r="436">
      <c r="A436" s="24"/>
      <c r="B436" s="24"/>
      <c r="F436" s="27"/>
      <c r="K436" s="24"/>
    </row>
    <row r="437">
      <c r="A437" s="24"/>
      <c r="B437" s="24"/>
      <c r="F437" s="27"/>
      <c r="K437" s="24"/>
    </row>
    <row r="438">
      <c r="A438" s="24"/>
      <c r="B438" s="24"/>
      <c r="F438" s="27"/>
      <c r="K438" s="24"/>
    </row>
    <row r="439">
      <c r="A439" s="24"/>
      <c r="B439" s="24"/>
      <c r="F439" s="27"/>
      <c r="K439" s="24"/>
    </row>
    <row r="440">
      <c r="A440" s="24"/>
      <c r="B440" s="24"/>
      <c r="F440" s="27"/>
      <c r="K440" s="24"/>
    </row>
    <row r="441">
      <c r="A441" s="24"/>
      <c r="B441" s="24"/>
      <c r="F441" s="27"/>
      <c r="K441" s="24"/>
    </row>
    <row r="442">
      <c r="A442" s="24"/>
      <c r="B442" s="24"/>
      <c r="F442" s="27"/>
      <c r="K442" s="24"/>
    </row>
    <row r="443">
      <c r="A443" s="24"/>
      <c r="B443" s="24"/>
      <c r="F443" s="27"/>
      <c r="K443" s="24"/>
    </row>
    <row r="444">
      <c r="A444" s="24"/>
      <c r="B444" s="24"/>
      <c r="F444" s="27"/>
      <c r="K444" s="24"/>
    </row>
    <row r="445">
      <c r="A445" s="24"/>
      <c r="B445" s="24"/>
      <c r="F445" s="27"/>
      <c r="K445" s="24"/>
    </row>
    <row r="446">
      <c r="A446" s="24"/>
      <c r="B446" s="24"/>
      <c r="F446" s="27"/>
      <c r="K446" s="24"/>
    </row>
    <row r="447">
      <c r="A447" s="24"/>
      <c r="B447" s="24"/>
      <c r="F447" s="27"/>
      <c r="K447" s="24"/>
    </row>
    <row r="448">
      <c r="A448" s="24"/>
      <c r="B448" s="24"/>
      <c r="F448" s="27"/>
      <c r="K448" s="24"/>
    </row>
    <row r="449">
      <c r="A449" s="24"/>
      <c r="B449" s="24"/>
      <c r="F449" s="27"/>
      <c r="K449" s="24"/>
    </row>
    <row r="450">
      <c r="A450" s="24"/>
      <c r="B450" s="24"/>
      <c r="F450" s="27"/>
      <c r="K450" s="24"/>
    </row>
    <row r="451">
      <c r="A451" s="24"/>
      <c r="B451" s="24"/>
      <c r="F451" s="27"/>
      <c r="K451" s="24"/>
    </row>
    <row r="452">
      <c r="A452" s="24"/>
      <c r="B452" s="24"/>
      <c r="F452" s="27"/>
      <c r="K452" s="24"/>
    </row>
    <row r="453">
      <c r="A453" s="24"/>
      <c r="B453" s="24"/>
      <c r="F453" s="27"/>
      <c r="K453" s="24"/>
    </row>
    <row r="454">
      <c r="A454" s="24"/>
      <c r="B454" s="24"/>
      <c r="F454" s="27"/>
      <c r="K454" s="24"/>
    </row>
    <row r="455">
      <c r="A455" s="24"/>
      <c r="B455" s="24"/>
      <c r="F455" s="27"/>
      <c r="K455" s="24"/>
    </row>
    <row r="456">
      <c r="A456" s="24"/>
      <c r="B456" s="24"/>
      <c r="F456" s="27"/>
      <c r="K456" s="24"/>
    </row>
    <row r="457">
      <c r="A457" s="24"/>
      <c r="B457" s="24"/>
      <c r="F457" s="27"/>
      <c r="K457" s="24"/>
    </row>
    <row r="458">
      <c r="A458" s="24"/>
      <c r="B458" s="24"/>
      <c r="F458" s="27"/>
      <c r="K458" s="24"/>
    </row>
    <row r="459">
      <c r="A459" s="24"/>
      <c r="B459" s="24"/>
      <c r="F459" s="27"/>
      <c r="K459" s="24"/>
    </row>
    <row r="460">
      <c r="A460" s="24"/>
      <c r="B460" s="24"/>
      <c r="F460" s="27"/>
      <c r="K460" s="24"/>
    </row>
    <row r="461">
      <c r="A461" s="24"/>
      <c r="B461" s="24"/>
      <c r="F461" s="27"/>
      <c r="K461" s="24"/>
    </row>
    <row r="462">
      <c r="A462" s="24"/>
      <c r="B462" s="24"/>
      <c r="F462" s="27"/>
      <c r="K462" s="24"/>
    </row>
    <row r="463">
      <c r="A463" s="24"/>
      <c r="B463" s="24"/>
      <c r="F463" s="27"/>
      <c r="K463" s="24"/>
    </row>
    <row r="464">
      <c r="A464" s="24"/>
      <c r="B464" s="24"/>
      <c r="F464" s="27"/>
      <c r="K464" s="24"/>
    </row>
    <row r="465">
      <c r="A465" s="24"/>
      <c r="B465" s="24"/>
      <c r="F465" s="27"/>
      <c r="K465" s="24"/>
    </row>
    <row r="466">
      <c r="A466" s="24"/>
      <c r="B466" s="24"/>
      <c r="F466" s="27"/>
      <c r="K466" s="24"/>
    </row>
    <row r="467">
      <c r="A467" s="24"/>
      <c r="B467" s="24"/>
      <c r="F467" s="27"/>
      <c r="K467" s="24"/>
    </row>
    <row r="468">
      <c r="A468" s="24"/>
      <c r="B468" s="24"/>
      <c r="F468" s="27"/>
      <c r="K468" s="24"/>
    </row>
    <row r="469">
      <c r="A469" s="24"/>
      <c r="B469" s="24"/>
      <c r="F469" s="27"/>
      <c r="K469" s="24"/>
    </row>
    <row r="470">
      <c r="A470" s="24"/>
      <c r="B470" s="24"/>
      <c r="F470" s="27"/>
      <c r="K470" s="24"/>
    </row>
    <row r="471">
      <c r="A471" s="24"/>
      <c r="B471" s="24"/>
      <c r="F471" s="27"/>
      <c r="K471" s="24"/>
    </row>
    <row r="472">
      <c r="A472" s="24"/>
      <c r="B472" s="24"/>
      <c r="F472" s="27"/>
      <c r="K472" s="24"/>
    </row>
    <row r="473">
      <c r="A473" s="24"/>
      <c r="B473" s="24"/>
      <c r="F473" s="27"/>
      <c r="K473" s="24"/>
    </row>
    <row r="474">
      <c r="A474" s="24"/>
      <c r="B474" s="24"/>
      <c r="F474" s="27"/>
      <c r="K474" s="24"/>
    </row>
    <row r="475">
      <c r="A475" s="24"/>
      <c r="B475" s="24"/>
      <c r="F475" s="27"/>
      <c r="K475" s="24"/>
    </row>
    <row r="476">
      <c r="A476" s="24"/>
      <c r="B476" s="24"/>
      <c r="F476" s="27"/>
      <c r="K476" s="24"/>
    </row>
    <row r="477">
      <c r="A477" s="24"/>
      <c r="B477" s="24"/>
      <c r="F477" s="27"/>
      <c r="K477" s="24"/>
    </row>
    <row r="478">
      <c r="A478" s="24"/>
      <c r="B478" s="24"/>
      <c r="F478" s="27"/>
      <c r="K478" s="24"/>
    </row>
    <row r="479">
      <c r="A479" s="24"/>
      <c r="B479" s="24"/>
      <c r="F479" s="27"/>
      <c r="K479" s="24"/>
    </row>
    <row r="480">
      <c r="A480" s="24"/>
      <c r="B480" s="24"/>
      <c r="F480" s="27"/>
      <c r="K480" s="24"/>
    </row>
    <row r="481">
      <c r="A481" s="24"/>
      <c r="B481" s="24"/>
      <c r="F481" s="27"/>
      <c r="K481" s="24"/>
    </row>
    <row r="482">
      <c r="A482" s="24"/>
      <c r="B482" s="24"/>
      <c r="F482" s="27"/>
      <c r="K482" s="24"/>
    </row>
    <row r="483">
      <c r="A483" s="24"/>
      <c r="B483" s="24"/>
      <c r="F483" s="27"/>
      <c r="K483" s="24"/>
    </row>
    <row r="484">
      <c r="A484" s="24"/>
      <c r="B484" s="24"/>
      <c r="F484" s="27"/>
      <c r="K484" s="24"/>
    </row>
    <row r="485">
      <c r="A485" s="24"/>
      <c r="B485" s="24"/>
      <c r="F485" s="27"/>
      <c r="K485" s="24"/>
    </row>
    <row r="486">
      <c r="A486" s="24"/>
      <c r="B486" s="24"/>
      <c r="F486" s="27"/>
      <c r="K486" s="24"/>
    </row>
    <row r="487">
      <c r="A487" s="24"/>
      <c r="B487" s="24"/>
      <c r="F487" s="27"/>
      <c r="K487" s="24"/>
    </row>
    <row r="488">
      <c r="A488" s="24"/>
      <c r="B488" s="24"/>
      <c r="F488" s="27"/>
      <c r="K488" s="24"/>
    </row>
    <row r="489">
      <c r="A489" s="24"/>
      <c r="B489" s="24"/>
      <c r="F489" s="27"/>
      <c r="K489" s="24"/>
    </row>
    <row r="490">
      <c r="A490" s="24"/>
      <c r="B490" s="24"/>
      <c r="F490" s="27"/>
      <c r="K490" s="24"/>
    </row>
    <row r="491">
      <c r="A491" s="24"/>
      <c r="B491" s="24"/>
      <c r="F491" s="27"/>
      <c r="K491" s="24"/>
    </row>
    <row r="492">
      <c r="A492" s="24"/>
      <c r="B492" s="24"/>
      <c r="F492" s="27"/>
      <c r="K492" s="24"/>
    </row>
    <row r="493">
      <c r="A493" s="24"/>
      <c r="B493" s="24"/>
      <c r="F493" s="27"/>
      <c r="K493" s="24"/>
    </row>
    <row r="494">
      <c r="A494" s="24"/>
      <c r="B494" s="24"/>
      <c r="F494" s="27"/>
      <c r="K494" s="24"/>
    </row>
    <row r="495">
      <c r="A495" s="24"/>
      <c r="B495" s="24"/>
      <c r="F495" s="27"/>
      <c r="K495" s="24"/>
    </row>
    <row r="496">
      <c r="A496" s="24"/>
      <c r="B496" s="24"/>
      <c r="F496" s="27"/>
      <c r="K496" s="24"/>
    </row>
    <row r="497">
      <c r="A497" s="24"/>
      <c r="B497" s="24"/>
      <c r="F497" s="27"/>
      <c r="K497" s="24"/>
    </row>
    <row r="498">
      <c r="A498" s="24"/>
      <c r="B498" s="24"/>
      <c r="F498" s="27"/>
      <c r="K498" s="24"/>
    </row>
    <row r="499">
      <c r="A499" s="24"/>
      <c r="B499" s="24"/>
      <c r="F499" s="27"/>
      <c r="K499" s="24"/>
    </row>
    <row r="500">
      <c r="A500" s="24"/>
      <c r="B500" s="24"/>
      <c r="F500" s="27"/>
      <c r="K500" s="24"/>
    </row>
    <row r="501">
      <c r="A501" s="24"/>
      <c r="B501" s="24"/>
      <c r="F501" s="27"/>
      <c r="K501" s="24"/>
    </row>
    <row r="502">
      <c r="A502" s="24"/>
      <c r="B502" s="24"/>
      <c r="F502" s="27"/>
      <c r="K502" s="24"/>
    </row>
    <row r="503">
      <c r="A503" s="24"/>
      <c r="B503" s="24"/>
      <c r="F503" s="27"/>
      <c r="K503" s="24"/>
    </row>
    <row r="504">
      <c r="A504" s="24"/>
      <c r="B504" s="24"/>
      <c r="F504" s="27"/>
      <c r="K504" s="24"/>
    </row>
    <row r="505">
      <c r="A505" s="24"/>
      <c r="B505" s="24"/>
      <c r="F505" s="27"/>
      <c r="K505" s="24"/>
    </row>
    <row r="506">
      <c r="A506" s="24"/>
      <c r="B506" s="24"/>
      <c r="F506" s="27"/>
      <c r="K506" s="24"/>
    </row>
    <row r="507">
      <c r="A507" s="24"/>
      <c r="B507" s="24"/>
      <c r="F507" s="27"/>
      <c r="K507" s="24"/>
    </row>
    <row r="508">
      <c r="A508" s="24"/>
      <c r="B508" s="24"/>
      <c r="F508" s="27"/>
      <c r="K508" s="24"/>
    </row>
    <row r="509">
      <c r="A509" s="24"/>
      <c r="B509" s="24"/>
      <c r="F509" s="27"/>
      <c r="K509" s="24"/>
    </row>
    <row r="510">
      <c r="A510" s="24"/>
      <c r="B510" s="24"/>
      <c r="F510" s="27"/>
      <c r="K510" s="24"/>
    </row>
    <row r="511">
      <c r="A511" s="24"/>
      <c r="B511" s="24"/>
      <c r="F511" s="27"/>
      <c r="K511" s="24"/>
    </row>
    <row r="512">
      <c r="A512" s="24"/>
      <c r="B512" s="24"/>
      <c r="F512" s="27"/>
      <c r="K512" s="24"/>
    </row>
    <row r="513">
      <c r="A513" s="24"/>
      <c r="B513" s="24"/>
      <c r="F513" s="27"/>
      <c r="K513" s="24"/>
    </row>
    <row r="514">
      <c r="A514" s="24"/>
      <c r="B514" s="24"/>
      <c r="F514" s="27"/>
      <c r="K514" s="24"/>
    </row>
    <row r="515">
      <c r="A515" s="24"/>
      <c r="B515" s="24"/>
      <c r="F515" s="27"/>
      <c r="K515" s="24"/>
    </row>
    <row r="516">
      <c r="A516" s="24"/>
      <c r="B516" s="24"/>
      <c r="F516" s="27"/>
      <c r="K516" s="24"/>
    </row>
    <row r="517">
      <c r="A517" s="24"/>
      <c r="B517" s="24"/>
      <c r="F517" s="27"/>
      <c r="K517" s="24"/>
    </row>
    <row r="518">
      <c r="A518" s="24"/>
      <c r="B518" s="24"/>
      <c r="F518" s="27"/>
      <c r="K518" s="24"/>
    </row>
    <row r="519">
      <c r="A519" s="24"/>
      <c r="B519" s="24"/>
      <c r="F519" s="27"/>
      <c r="K519" s="24"/>
    </row>
    <row r="520">
      <c r="A520" s="24"/>
      <c r="B520" s="24"/>
      <c r="F520" s="27"/>
      <c r="K520" s="24"/>
    </row>
    <row r="521">
      <c r="A521" s="24"/>
      <c r="B521" s="24"/>
      <c r="F521" s="27"/>
      <c r="K521" s="24"/>
    </row>
    <row r="522">
      <c r="A522" s="24"/>
      <c r="B522" s="24"/>
      <c r="F522" s="27"/>
      <c r="K522" s="24"/>
    </row>
    <row r="523">
      <c r="A523" s="24"/>
      <c r="B523" s="24"/>
      <c r="F523" s="27"/>
      <c r="K523" s="24"/>
    </row>
    <row r="524">
      <c r="A524" s="24"/>
      <c r="B524" s="24"/>
      <c r="F524" s="27"/>
      <c r="K524" s="24"/>
    </row>
    <row r="525">
      <c r="A525" s="24"/>
      <c r="B525" s="24"/>
      <c r="F525" s="27"/>
      <c r="K525" s="24"/>
    </row>
    <row r="526">
      <c r="A526" s="24"/>
      <c r="B526" s="24"/>
      <c r="F526" s="27"/>
      <c r="K526" s="24"/>
    </row>
    <row r="527">
      <c r="A527" s="24"/>
      <c r="B527" s="24"/>
      <c r="F527" s="27"/>
      <c r="K527" s="24"/>
    </row>
    <row r="528">
      <c r="A528" s="24"/>
      <c r="B528" s="24"/>
      <c r="F528" s="27"/>
      <c r="K528" s="24"/>
    </row>
    <row r="529">
      <c r="A529" s="24"/>
      <c r="B529" s="24"/>
      <c r="F529" s="27"/>
      <c r="K529" s="24"/>
    </row>
    <row r="530">
      <c r="A530" s="24"/>
      <c r="B530" s="24"/>
      <c r="F530" s="27"/>
      <c r="K530" s="24"/>
    </row>
    <row r="531">
      <c r="A531" s="24"/>
      <c r="B531" s="24"/>
      <c r="F531" s="27"/>
      <c r="K531" s="24"/>
    </row>
    <row r="532">
      <c r="A532" s="24"/>
      <c r="B532" s="24"/>
      <c r="F532" s="27"/>
      <c r="K532" s="24"/>
    </row>
    <row r="533">
      <c r="A533" s="24"/>
      <c r="B533" s="24"/>
      <c r="F533" s="27"/>
      <c r="K533" s="24"/>
    </row>
    <row r="534">
      <c r="A534" s="24"/>
      <c r="B534" s="24"/>
      <c r="F534" s="27"/>
      <c r="K534" s="24"/>
    </row>
    <row r="535">
      <c r="A535" s="24"/>
      <c r="B535" s="24"/>
      <c r="F535" s="27"/>
      <c r="K535" s="24"/>
    </row>
    <row r="536">
      <c r="A536" s="24"/>
      <c r="B536" s="24"/>
      <c r="F536" s="27"/>
      <c r="K536" s="24"/>
    </row>
    <row r="537">
      <c r="A537" s="24"/>
      <c r="B537" s="24"/>
      <c r="F537" s="27"/>
      <c r="K537" s="24"/>
    </row>
    <row r="538">
      <c r="A538" s="24"/>
      <c r="B538" s="24"/>
      <c r="F538" s="27"/>
      <c r="K538" s="24"/>
    </row>
    <row r="539">
      <c r="A539" s="24"/>
      <c r="B539" s="24"/>
      <c r="F539" s="27"/>
      <c r="K539" s="24"/>
    </row>
    <row r="540">
      <c r="A540" s="24"/>
      <c r="B540" s="24"/>
      <c r="F540" s="27"/>
      <c r="K540" s="24"/>
    </row>
    <row r="541">
      <c r="A541" s="24"/>
      <c r="B541" s="24"/>
      <c r="F541" s="27"/>
      <c r="K541" s="24"/>
    </row>
    <row r="542">
      <c r="A542" s="24"/>
      <c r="B542" s="24"/>
      <c r="F542" s="27"/>
      <c r="K542" s="24"/>
    </row>
    <row r="543">
      <c r="A543" s="24"/>
      <c r="B543" s="24"/>
      <c r="F543" s="27"/>
      <c r="K543" s="24"/>
    </row>
    <row r="544">
      <c r="A544" s="24"/>
      <c r="B544" s="24"/>
      <c r="F544" s="27"/>
      <c r="K544" s="24"/>
    </row>
    <row r="545">
      <c r="A545" s="24"/>
      <c r="B545" s="24"/>
      <c r="F545" s="27"/>
      <c r="K545" s="24"/>
    </row>
    <row r="546">
      <c r="A546" s="24"/>
      <c r="B546" s="24"/>
      <c r="F546" s="27"/>
      <c r="K546" s="24"/>
    </row>
    <row r="547">
      <c r="A547" s="24"/>
      <c r="B547" s="24"/>
      <c r="F547" s="27"/>
      <c r="K547" s="24"/>
    </row>
    <row r="548">
      <c r="A548" s="24"/>
      <c r="B548" s="24"/>
      <c r="F548" s="27"/>
      <c r="K548" s="24"/>
    </row>
    <row r="549">
      <c r="A549" s="24"/>
      <c r="B549" s="24"/>
      <c r="F549" s="27"/>
      <c r="K549" s="24"/>
    </row>
    <row r="550">
      <c r="A550" s="24"/>
      <c r="B550" s="24"/>
      <c r="F550" s="27"/>
      <c r="K550" s="24"/>
    </row>
    <row r="551">
      <c r="A551" s="24"/>
      <c r="B551" s="24"/>
      <c r="F551" s="27"/>
      <c r="K551" s="24"/>
    </row>
    <row r="552">
      <c r="A552" s="24"/>
      <c r="B552" s="24"/>
      <c r="F552" s="27"/>
      <c r="K552" s="24"/>
    </row>
    <row r="553">
      <c r="A553" s="24"/>
      <c r="B553" s="24"/>
      <c r="F553" s="27"/>
      <c r="K553" s="24"/>
    </row>
    <row r="554">
      <c r="A554" s="24"/>
      <c r="B554" s="24"/>
      <c r="F554" s="27"/>
      <c r="K554" s="24"/>
    </row>
    <row r="555">
      <c r="A555" s="24"/>
      <c r="B555" s="24"/>
      <c r="F555" s="27"/>
      <c r="K555" s="24"/>
    </row>
    <row r="556">
      <c r="A556" s="24"/>
      <c r="B556" s="24"/>
      <c r="F556" s="27"/>
      <c r="K556" s="24"/>
    </row>
    <row r="557">
      <c r="A557" s="24"/>
      <c r="B557" s="24"/>
      <c r="F557" s="27"/>
      <c r="K557" s="24"/>
    </row>
    <row r="558">
      <c r="A558" s="24"/>
      <c r="B558" s="24"/>
      <c r="F558" s="27"/>
      <c r="K558" s="24"/>
    </row>
    <row r="559">
      <c r="A559" s="24"/>
      <c r="B559" s="24"/>
      <c r="F559" s="27"/>
      <c r="K559" s="24"/>
    </row>
    <row r="560">
      <c r="A560" s="24"/>
      <c r="B560" s="24"/>
      <c r="F560" s="27"/>
      <c r="K560" s="24"/>
    </row>
    <row r="561">
      <c r="A561" s="24"/>
      <c r="B561" s="24"/>
      <c r="F561" s="27"/>
      <c r="K561" s="24"/>
    </row>
    <row r="562">
      <c r="A562" s="24"/>
      <c r="B562" s="24"/>
      <c r="F562" s="27"/>
      <c r="K562" s="24"/>
    </row>
    <row r="563">
      <c r="A563" s="24"/>
      <c r="B563" s="24"/>
      <c r="F563" s="27"/>
      <c r="K563" s="24"/>
    </row>
    <row r="564">
      <c r="A564" s="24"/>
      <c r="B564" s="24"/>
      <c r="F564" s="27"/>
      <c r="K564" s="24"/>
    </row>
    <row r="565">
      <c r="A565" s="24"/>
      <c r="B565" s="24"/>
      <c r="F565" s="27"/>
      <c r="K565" s="24"/>
    </row>
    <row r="566">
      <c r="A566" s="24"/>
      <c r="B566" s="24"/>
      <c r="F566" s="27"/>
      <c r="K566" s="24"/>
    </row>
    <row r="567">
      <c r="A567" s="24"/>
      <c r="B567" s="24"/>
      <c r="F567" s="27"/>
      <c r="K567" s="24"/>
    </row>
    <row r="568">
      <c r="A568" s="24"/>
      <c r="B568" s="24"/>
      <c r="F568" s="27"/>
      <c r="K568" s="24"/>
    </row>
    <row r="569">
      <c r="A569" s="24"/>
      <c r="B569" s="24"/>
      <c r="F569" s="27"/>
      <c r="K569" s="24"/>
    </row>
    <row r="570">
      <c r="A570" s="24"/>
      <c r="B570" s="24"/>
      <c r="F570" s="27"/>
      <c r="K570" s="24"/>
    </row>
    <row r="571">
      <c r="A571" s="24"/>
      <c r="B571" s="24"/>
      <c r="F571" s="27"/>
      <c r="K571" s="24"/>
    </row>
    <row r="572">
      <c r="A572" s="24"/>
      <c r="B572" s="24"/>
      <c r="F572" s="27"/>
      <c r="K572" s="24"/>
    </row>
    <row r="573">
      <c r="A573" s="24"/>
      <c r="B573" s="24"/>
      <c r="F573" s="27"/>
      <c r="K573" s="24"/>
    </row>
    <row r="574">
      <c r="A574" s="24"/>
      <c r="B574" s="24"/>
      <c r="F574" s="27"/>
      <c r="K574" s="24"/>
    </row>
    <row r="575">
      <c r="A575" s="24"/>
      <c r="B575" s="24"/>
      <c r="F575" s="27"/>
      <c r="K575" s="24"/>
    </row>
    <row r="576">
      <c r="A576" s="24"/>
      <c r="B576" s="24"/>
      <c r="F576" s="27"/>
      <c r="K576" s="24"/>
    </row>
    <row r="577">
      <c r="A577" s="24"/>
      <c r="B577" s="24"/>
      <c r="F577" s="27"/>
      <c r="K577" s="24"/>
    </row>
    <row r="578">
      <c r="A578" s="24"/>
      <c r="B578" s="24"/>
      <c r="F578" s="27"/>
      <c r="K578" s="24"/>
    </row>
    <row r="579">
      <c r="A579" s="24"/>
      <c r="B579" s="24"/>
      <c r="F579" s="27"/>
      <c r="K579" s="24"/>
    </row>
    <row r="580">
      <c r="A580" s="24"/>
      <c r="B580" s="24"/>
      <c r="F580" s="27"/>
      <c r="K580" s="24"/>
    </row>
    <row r="581">
      <c r="A581" s="24"/>
      <c r="B581" s="24"/>
      <c r="F581" s="27"/>
      <c r="K581" s="24"/>
    </row>
    <row r="582">
      <c r="A582" s="24"/>
      <c r="B582" s="24"/>
      <c r="F582" s="27"/>
      <c r="K582" s="24"/>
    </row>
    <row r="583">
      <c r="A583" s="24"/>
      <c r="B583" s="24"/>
      <c r="F583" s="27"/>
      <c r="K583" s="24"/>
    </row>
    <row r="584">
      <c r="A584" s="24"/>
      <c r="B584" s="24"/>
      <c r="F584" s="27"/>
      <c r="K584" s="24"/>
    </row>
    <row r="585">
      <c r="A585" s="24"/>
      <c r="B585" s="24"/>
      <c r="F585" s="27"/>
      <c r="K585" s="24"/>
    </row>
    <row r="586">
      <c r="A586" s="24"/>
      <c r="B586" s="24"/>
      <c r="F586" s="27"/>
      <c r="K586" s="24"/>
    </row>
    <row r="587">
      <c r="A587" s="24"/>
      <c r="B587" s="24"/>
      <c r="F587" s="27"/>
      <c r="K587" s="24"/>
    </row>
    <row r="588">
      <c r="A588" s="24"/>
      <c r="B588" s="24"/>
      <c r="F588" s="27"/>
      <c r="K588" s="24"/>
    </row>
    <row r="589">
      <c r="A589" s="24"/>
      <c r="B589" s="24"/>
      <c r="F589" s="27"/>
      <c r="K589" s="24"/>
    </row>
    <row r="590">
      <c r="A590" s="24"/>
      <c r="B590" s="24"/>
      <c r="F590" s="27"/>
      <c r="K590" s="24"/>
    </row>
    <row r="591">
      <c r="A591" s="24"/>
      <c r="B591" s="24"/>
      <c r="F591" s="27"/>
      <c r="K591" s="24"/>
    </row>
    <row r="592">
      <c r="A592" s="24"/>
      <c r="B592" s="24"/>
      <c r="F592" s="27"/>
      <c r="K592" s="24"/>
    </row>
    <row r="593">
      <c r="A593" s="24"/>
      <c r="B593" s="24"/>
      <c r="F593" s="27"/>
      <c r="K593" s="24"/>
    </row>
    <row r="594">
      <c r="A594" s="24"/>
      <c r="B594" s="24"/>
      <c r="F594" s="27"/>
      <c r="K594" s="24"/>
    </row>
    <row r="595">
      <c r="A595" s="24"/>
      <c r="B595" s="24"/>
      <c r="F595" s="27"/>
      <c r="K595" s="24"/>
    </row>
    <row r="596">
      <c r="A596" s="24"/>
      <c r="B596" s="24"/>
      <c r="F596" s="27"/>
      <c r="K596" s="24"/>
    </row>
    <row r="597">
      <c r="A597" s="24"/>
      <c r="B597" s="24"/>
      <c r="F597" s="27"/>
      <c r="K597" s="24"/>
    </row>
    <row r="598">
      <c r="A598" s="24"/>
      <c r="B598" s="24"/>
      <c r="F598" s="27"/>
      <c r="K598" s="24"/>
    </row>
    <row r="599">
      <c r="A599" s="24"/>
      <c r="B599" s="24"/>
      <c r="F599" s="27"/>
      <c r="K599" s="24"/>
    </row>
    <row r="600">
      <c r="A600" s="24"/>
      <c r="B600" s="24"/>
      <c r="F600" s="27"/>
      <c r="K600" s="24"/>
    </row>
    <row r="601">
      <c r="A601" s="24"/>
      <c r="B601" s="24"/>
      <c r="F601" s="27"/>
      <c r="K601" s="24"/>
    </row>
    <row r="602">
      <c r="A602" s="24"/>
      <c r="B602" s="24"/>
      <c r="F602" s="27"/>
      <c r="K602" s="24"/>
    </row>
    <row r="603">
      <c r="A603" s="24"/>
      <c r="B603" s="24"/>
      <c r="F603" s="27"/>
      <c r="K603" s="24"/>
    </row>
    <row r="604">
      <c r="A604" s="24"/>
      <c r="B604" s="24"/>
      <c r="F604" s="27"/>
      <c r="K604" s="24"/>
    </row>
    <row r="605">
      <c r="A605" s="24"/>
      <c r="B605" s="24"/>
      <c r="F605" s="27"/>
      <c r="K605" s="24"/>
    </row>
    <row r="606">
      <c r="A606" s="24"/>
      <c r="B606" s="24"/>
      <c r="F606" s="27"/>
      <c r="K606" s="24"/>
    </row>
    <row r="607">
      <c r="A607" s="24"/>
      <c r="B607" s="24"/>
      <c r="F607" s="27"/>
      <c r="K607" s="24"/>
    </row>
    <row r="608">
      <c r="A608" s="24"/>
      <c r="B608" s="24"/>
      <c r="F608" s="27"/>
      <c r="K608" s="24"/>
    </row>
    <row r="609">
      <c r="A609" s="24"/>
      <c r="B609" s="24"/>
      <c r="F609" s="27"/>
      <c r="K609" s="24"/>
    </row>
    <row r="610">
      <c r="A610" s="24"/>
      <c r="B610" s="24"/>
      <c r="F610" s="27"/>
      <c r="K610" s="24"/>
    </row>
    <row r="611">
      <c r="A611" s="24"/>
      <c r="B611" s="24"/>
      <c r="F611" s="27"/>
      <c r="K611" s="24"/>
    </row>
    <row r="612">
      <c r="A612" s="24"/>
      <c r="B612" s="24"/>
      <c r="F612" s="27"/>
      <c r="K612" s="24"/>
    </row>
    <row r="613">
      <c r="A613" s="24"/>
      <c r="B613" s="24"/>
      <c r="F613" s="27"/>
      <c r="K613" s="24"/>
    </row>
    <row r="614">
      <c r="A614" s="24"/>
      <c r="B614" s="24"/>
      <c r="F614" s="27"/>
      <c r="K614" s="24"/>
    </row>
    <row r="615">
      <c r="A615" s="24"/>
      <c r="B615" s="24"/>
      <c r="F615" s="27"/>
      <c r="K615" s="24"/>
    </row>
    <row r="616">
      <c r="A616" s="24"/>
      <c r="B616" s="24"/>
      <c r="F616" s="27"/>
      <c r="K616" s="24"/>
    </row>
    <row r="617">
      <c r="A617" s="24"/>
      <c r="B617" s="24"/>
      <c r="F617" s="27"/>
      <c r="K617" s="24"/>
    </row>
    <row r="618">
      <c r="A618" s="24"/>
      <c r="B618" s="24"/>
      <c r="F618" s="27"/>
      <c r="K618" s="24"/>
    </row>
    <row r="619">
      <c r="A619" s="24"/>
      <c r="B619" s="24"/>
      <c r="F619" s="27"/>
      <c r="K619" s="24"/>
    </row>
    <row r="620">
      <c r="A620" s="24"/>
      <c r="B620" s="24"/>
      <c r="F620" s="27"/>
      <c r="K620" s="24"/>
    </row>
    <row r="621">
      <c r="A621" s="24"/>
      <c r="B621" s="24"/>
      <c r="F621" s="27"/>
      <c r="K621" s="24"/>
    </row>
    <row r="622">
      <c r="A622" s="24"/>
      <c r="B622" s="24"/>
      <c r="F622" s="27"/>
      <c r="K622" s="24"/>
    </row>
    <row r="623">
      <c r="A623" s="24"/>
      <c r="B623" s="24"/>
      <c r="F623" s="27"/>
      <c r="K623" s="24"/>
    </row>
    <row r="624">
      <c r="A624" s="24"/>
      <c r="B624" s="24"/>
      <c r="F624" s="27"/>
      <c r="K624" s="24"/>
    </row>
    <row r="625">
      <c r="A625" s="24"/>
      <c r="B625" s="24"/>
      <c r="F625" s="27"/>
      <c r="K625" s="24"/>
    </row>
    <row r="626">
      <c r="A626" s="24"/>
      <c r="B626" s="24"/>
      <c r="F626" s="27"/>
      <c r="K626" s="24"/>
    </row>
    <row r="627">
      <c r="A627" s="24"/>
      <c r="B627" s="24"/>
      <c r="F627" s="27"/>
      <c r="K627" s="24"/>
    </row>
    <row r="628">
      <c r="A628" s="24"/>
      <c r="B628" s="24"/>
      <c r="F628" s="27"/>
      <c r="K628" s="24"/>
    </row>
    <row r="629">
      <c r="A629" s="24"/>
      <c r="B629" s="24"/>
      <c r="F629" s="27"/>
      <c r="K629" s="24"/>
    </row>
    <row r="630">
      <c r="A630" s="24"/>
      <c r="B630" s="24"/>
      <c r="F630" s="27"/>
      <c r="K630" s="24"/>
    </row>
    <row r="631">
      <c r="A631" s="24"/>
      <c r="B631" s="24"/>
      <c r="F631" s="27"/>
      <c r="K631" s="24"/>
    </row>
    <row r="632">
      <c r="A632" s="24"/>
      <c r="B632" s="24"/>
      <c r="F632" s="27"/>
      <c r="K632" s="24"/>
    </row>
    <row r="633">
      <c r="A633" s="24"/>
      <c r="B633" s="24"/>
      <c r="F633" s="27"/>
      <c r="K633" s="24"/>
    </row>
    <row r="634">
      <c r="A634" s="24"/>
      <c r="B634" s="24"/>
      <c r="F634" s="27"/>
      <c r="K634" s="24"/>
    </row>
    <row r="635">
      <c r="A635" s="24"/>
      <c r="B635" s="24"/>
      <c r="F635" s="27"/>
      <c r="K635" s="24"/>
    </row>
    <row r="636">
      <c r="A636" s="24"/>
      <c r="B636" s="24"/>
      <c r="F636" s="27"/>
      <c r="K636" s="24"/>
    </row>
    <row r="637">
      <c r="A637" s="24"/>
      <c r="B637" s="24"/>
      <c r="F637" s="27"/>
      <c r="K637" s="24"/>
    </row>
    <row r="638">
      <c r="A638" s="24"/>
      <c r="B638" s="24"/>
      <c r="F638" s="27"/>
      <c r="K638" s="24"/>
    </row>
    <row r="639">
      <c r="A639" s="24"/>
      <c r="B639" s="24"/>
      <c r="F639" s="27"/>
      <c r="K639" s="24"/>
    </row>
    <row r="640">
      <c r="A640" s="24"/>
      <c r="B640" s="24"/>
      <c r="F640" s="27"/>
      <c r="K640" s="24"/>
    </row>
    <row r="641">
      <c r="A641" s="24"/>
      <c r="B641" s="24"/>
      <c r="F641" s="27"/>
      <c r="K641" s="24"/>
    </row>
    <row r="642">
      <c r="A642" s="24"/>
      <c r="B642" s="24"/>
      <c r="F642" s="27"/>
      <c r="K642" s="24"/>
    </row>
    <row r="643">
      <c r="A643" s="24"/>
      <c r="B643" s="24"/>
      <c r="F643" s="27"/>
      <c r="K643" s="24"/>
    </row>
    <row r="644">
      <c r="A644" s="24"/>
      <c r="B644" s="24"/>
      <c r="F644" s="27"/>
      <c r="K644" s="24"/>
    </row>
    <row r="645">
      <c r="A645" s="24"/>
      <c r="B645" s="24"/>
      <c r="F645" s="27"/>
      <c r="K645" s="24"/>
    </row>
    <row r="646">
      <c r="A646" s="24"/>
      <c r="B646" s="24"/>
      <c r="F646" s="27"/>
      <c r="K646" s="24"/>
    </row>
    <row r="647">
      <c r="A647" s="24"/>
      <c r="B647" s="24"/>
      <c r="F647" s="27"/>
      <c r="K647" s="24"/>
    </row>
    <row r="648">
      <c r="A648" s="24"/>
      <c r="B648" s="24"/>
      <c r="F648" s="27"/>
      <c r="K648" s="24"/>
    </row>
    <row r="649">
      <c r="A649" s="24"/>
      <c r="B649" s="24"/>
      <c r="F649" s="27"/>
      <c r="K649" s="24"/>
    </row>
    <row r="650">
      <c r="A650" s="24"/>
      <c r="B650" s="24"/>
      <c r="F650" s="27"/>
      <c r="K650" s="24"/>
    </row>
    <row r="651">
      <c r="A651" s="24"/>
      <c r="B651" s="24"/>
      <c r="F651" s="27"/>
      <c r="K651" s="24"/>
    </row>
    <row r="652">
      <c r="A652" s="24"/>
      <c r="B652" s="24"/>
      <c r="F652" s="27"/>
      <c r="K652" s="24"/>
    </row>
    <row r="653">
      <c r="A653" s="24"/>
      <c r="B653" s="24"/>
      <c r="F653" s="27"/>
      <c r="K653" s="24"/>
    </row>
    <row r="654">
      <c r="A654" s="24"/>
      <c r="B654" s="24"/>
      <c r="F654" s="27"/>
      <c r="K654" s="24"/>
    </row>
    <row r="655">
      <c r="A655" s="24"/>
      <c r="B655" s="24"/>
      <c r="F655" s="27"/>
      <c r="K655" s="24"/>
    </row>
    <row r="656">
      <c r="A656" s="24"/>
      <c r="B656" s="24"/>
      <c r="F656" s="27"/>
      <c r="K656" s="24"/>
    </row>
    <row r="657">
      <c r="A657" s="24"/>
      <c r="B657" s="24"/>
      <c r="F657" s="27"/>
      <c r="K657" s="24"/>
    </row>
    <row r="658">
      <c r="A658" s="24"/>
      <c r="B658" s="24"/>
      <c r="F658" s="27"/>
      <c r="K658" s="24"/>
    </row>
    <row r="659">
      <c r="A659" s="24"/>
      <c r="B659" s="24"/>
      <c r="F659" s="27"/>
      <c r="K659" s="24"/>
    </row>
    <row r="660">
      <c r="A660" s="24"/>
      <c r="B660" s="24"/>
      <c r="F660" s="27"/>
      <c r="K660" s="24"/>
    </row>
    <row r="661">
      <c r="A661" s="24"/>
      <c r="B661" s="24"/>
      <c r="F661" s="27"/>
      <c r="K661" s="24"/>
    </row>
    <row r="662">
      <c r="A662" s="24"/>
      <c r="B662" s="24"/>
      <c r="F662" s="27"/>
      <c r="K662" s="24"/>
    </row>
    <row r="663">
      <c r="A663" s="24"/>
      <c r="B663" s="24"/>
      <c r="F663" s="27"/>
      <c r="K663" s="24"/>
    </row>
    <row r="664">
      <c r="A664" s="24"/>
      <c r="B664" s="24"/>
      <c r="F664" s="27"/>
      <c r="K664" s="24"/>
    </row>
    <row r="665">
      <c r="A665" s="24"/>
      <c r="B665" s="24"/>
      <c r="F665" s="27"/>
      <c r="K665" s="24"/>
    </row>
    <row r="666">
      <c r="A666" s="24"/>
      <c r="B666" s="24"/>
      <c r="F666" s="27"/>
      <c r="K666" s="24"/>
    </row>
    <row r="667">
      <c r="A667" s="24"/>
      <c r="B667" s="24"/>
      <c r="F667" s="27"/>
      <c r="K667" s="24"/>
    </row>
    <row r="668">
      <c r="A668" s="24"/>
      <c r="B668" s="24"/>
      <c r="F668" s="27"/>
      <c r="K668" s="24"/>
    </row>
    <row r="669">
      <c r="A669" s="24"/>
      <c r="B669" s="24"/>
      <c r="F669" s="27"/>
      <c r="K669" s="24"/>
    </row>
    <row r="670">
      <c r="A670" s="24"/>
      <c r="B670" s="24"/>
      <c r="F670" s="27"/>
      <c r="K670" s="24"/>
    </row>
    <row r="671">
      <c r="A671" s="24"/>
      <c r="B671" s="24"/>
      <c r="F671" s="27"/>
      <c r="K671" s="24"/>
    </row>
    <row r="672">
      <c r="A672" s="24"/>
      <c r="B672" s="24"/>
      <c r="F672" s="27"/>
      <c r="K672" s="24"/>
    </row>
    <row r="673">
      <c r="A673" s="24"/>
      <c r="B673" s="24"/>
      <c r="F673" s="27"/>
      <c r="K673" s="24"/>
    </row>
    <row r="674">
      <c r="A674" s="24"/>
      <c r="B674" s="24"/>
      <c r="F674" s="27"/>
      <c r="K674" s="24"/>
    </row>
    <row r="675">
      <c r="A675" s="24"/>
      <c r="B675" s="24"/>
      <c r="F675" s="27"/>
      <c r="K675" s="24"/>
    </row>
    <row r="676">
      <c r="A676" s="24"/>
      <c r="B676" s="24"/>
      <c r="F676" s="27"/>
      <c r="K676" s="24"/>
    </row>
    <row r="677">
      <c r="A677" s="24"/>
      <c r="B677" s="24"/>
      <c r="F677" s="27"/>
      <c r="K677" s="24"/>
    </row>
    <row r="678">
      <c r="A678" s="24"/>
      <c r="B678" s="24"/>
      <c r="F678" s="27"/>
      <c r="K678" s="24"/>
    </row>
    <row r="679">
      <c r="A679" s="24"/>
      <c r="B679" s="24"/>
      <c r="F679" s="27"/>
      <c r="K679" s="24"/>
    </row>
    <row r="680">
      <c r="A680" s="24"/>
      <c r="B680" s="24"/>
      <c r="F680" s="27"/>
      <c r="K680" s="24"/>
    </row>
    <row r="681">
      <c r="A681" s="24"/>
      <c r="B681" s="24"/>
      <c r="F681" s="27"/>
      <c r="K681" s="24"/>
    </row>
    <row r="682">
      <c r="A682" s="24"/>
      <c r="B682" s="24"/>
      <c r="F682" s="27"/>
      <c r="K682" s="24"/>
    </row>
    <row r="683">
      <c r="A683" s="24"/>
      <c r="B683" s="24"/>
      <c r="F683" s="27"/>
      <c r="K683" s="24"/>
    </row>
    <row r="684">
      <c r="A684" s="24"/>
      <c r="B684" s="24"/>
      <c r="F684" s="27"/>
      <c r="K684" s="24"/>
    </row>
    <row r="685">
      <c r="A685" s="24"/>
      <c r="B685" s="24"/>
      <c r="F685" s="27"/>
      <c r="K685" s="24"/>
    </row>
    <row r="686">
      <c r="A686" s="24"/>
      <c r="B686" s="24"/>
      <c r="F686" s="27"/>
      <c r="K686" s="24"/>
    </row>
    <row r="687">
      <c r="A687" s="24"/>
      <c r="B687" s="24"/>
      <c r="F687" s="27"/>
      <c r="K687" s="24"/>
    </row>
    <row r="688">
      <c r="A688" s="24"/>
      <c r="B688" s="24"/>
      <c r="F688" s="27"/>
      <c r="K688" s="24"/>
    </row>
    <row r="689">
      <c r="A689" s="24"/>
      <c r="B689" s="24"/>
      <c r="F689" s="27"/>
      <c r="K689" s="24"/>
    </row>
    <row r="690">
      <c r="A690" s="24"/>
      <c r="B690" s="24"/>
      <c r="F690" s="27"/>
      <c r="K690" s="24"/>
    </row>
    <row r="691">
      <c r="A691" s="24"/>
      <c r="B691" s="24"/>
      <c r="F691" s="27"/>
      <c r="K691" s="24"/>
    </row>
    <row r="692">
      <c r="A692" s="24"/>
      <c r="B692" s="24"/>
      <c r="F692" s="27"/>
      <c r="K692" s="24"/>
    </row>
    <row r="693">
      <c r="A693" s="24"/>
      <c r="B693" s="24"/>
      <c r="F693" s="27"/>
      <c r="K693" s="24"/>
    </row>
    <row r="694">
      <c r="A694" s="24"/>
      <c r="B694" s="24"/>
      <c r="F694" s="27"/>
      <c r="K694" s="24"/>
    </row>
    <row r="695">
      <c r="A695" s="24"/>
      <c r="B695" s="24"/>
      <c r="F695" s="27"/>
      <c r="K695" s="24"/>
    </row>
    <row r="696">
      <c r="A696" s="24"/>
      <c r="B696" s="24"/>
      <c r="F696" s="27"/>
      <c r="K696" s="24"/>
    </row>
    <row r="697">
      <c r="A697" s="24"/>
      <c r="B697" s="24"/>
      <c r="F697" s="27"/>
      <c r="K697" s="24"/>
    </row>
    <row r="698">
      <c r="A698" s="24"/>
      <c r="B698" s="24"/>
      <c r="F698" s="27"/>
      <c r="K698" s="24"/>
    </row>
    <row r="699">
      <c r="A699" s="24"/>
      <c r="B699" s="24"/>
      <c r="F699" s="27"/>
      <c r="K699" s="24"/>
    </row>
    <row r="700">
      <c r="A700" s="24"/>
      <c r="B700" s="24"/>
      <c r="F700" s="27"/>
      <c r="K700" s="24"/>
    </row>
    <row r="701">
      <c r="A701" s="24"/>
      <c r="B701" s="24"/>
      <c r="F701" s="27"/>
      <c r="K701" s="24"/>
    </row>
    <row r="702">
      <c r="A702" s="24"/>
      <c r="B702" s="24"/>
      <c r="F702" s="27"/>
      <c r="K702" s="24"/>
    </row>
    <row r="703">
      <c r="A703" s="24"/>
      <c r="B703" s="24"/>
      <c r="F703" s="27"/>
      <c r="K703" s="24"/>
    </row>
    <row r="704">
      <c r="A704" s="24"/>
      <c r="B704" s="24"/>
      <c r="F704" s="27"/>
      <c r="K704" s="24"/>
    </row>
    <row r="705">
      <c r="A705" s="24"/>
      <c r="B705" s="24"/>
      <c r="F705" s="27"/>
      <c r="K705" s="24"/>
    </row>
    <row r="706">
      <c r="A706" s="24"/>
      <c r="B706" s="24"/>
      <c r="F706" s="27"/>
      <c r="K706" s="24"/>
    </row>
    <row r="707">
      <c r="A707" s="24"/>
      <c r="B707" s="24"/>
      <c r="F707" s="27"/>
      <c r="K707" s="24"/>
    </row>
    <row r="708">
      <c r="A708" s="24"/>
      <c r="B708" s="24"/>
      <c r="F708" s="27"/>
      <c r="K708" s="24"/>
    </row>
    <row r="709">
      <c r="A709" s="24"/>
      <c r="B709" s="24"/>
      <c r="F709" s="27"/>
      <c r="K709" s="24"/>
    </row>
    <row r="710">
      <c r="A710" s="24"/>
      <c r="B710" s="24"/>
      <c r="F710" s="27"/>
      <c r="K710" s="24"/>
    </row>
    <row r="711">
      <c r="A711" s="24"/>
      <c r="B711" s="24"/>
      <c r="F711" s="27"/>
      <c r="K711" s="24"/>
    </row>
    <row r="712">
      <c r="A712" s="24"/>
      <c r="B712" s="24"/>
      <c r="F712" s="27"/>
      <c r="K712" s="24"/>
    </row>
    <row r="713">
      <c r="A713" s="24"/>
      <c r="B713" s="24"/>
      <c r="F713" s="27"/>
      <c r="K713" s="24"/>
    </row>
    <row r="714">
      <c r="A714" s="24"/>
      <c r="B714" s="24"/>
      <c r="F714" s="27"/>
      <c r="K714" s="24"/>
    </row>
    <row r="715">
      <c r="A715" s="24"/>
      <c r="B715" s="24"/>
      <c r="F715" s="27"/>
      <c r="K715" s="24"/>
    </row>
    <row r="716">
      <c r="A716" s="24"/>
      <c r="B716" s="24"/>
      <c r="F716" s="27"/>
      <c r="K716" s="24"/>
    </row>
    <row r="717">
      <c r="A717" s="24"/>
      <c r="B717" s="24"/>
      <c r="F717" s="27"/>
      <c r="K717" s="24"/>
    </row>
    <row r="718">
      <c r="A718" s="24"/>
      <c r="B718" s="24"/>
      <c r="F718" s="27"/>
      <c r="K718" s="24"/>
    </row>
    <row r="719">
      <c r="A719" s="24"/>
      <c r="B719" s="24"/>
      <c r="F719" s="27"/>
      <c r="K719" s="24"/>
    </row>
    <row r="720">
      <c r="A720" s="24"/>
      <c r="B720" s="24"/>
      <c r="F720" s="27"/>
      <c r="K720" s="24"/>
    </row>
    <row r="721">
      <c r="A721" s="24"/>
      <c r="B721" s="24"/>
      <c r="F721" s="27"/>
      <c r="K721" s="24"/>
    </row>
    <row r="722">
      <c r="A722" s="24"/>
      <c r="B722" s="24"/>
      <c r="F722" s="27"/>
      <c r="K722" s="24"/>
    </row>
    <row r="723">
      <c r="A723" s="24"/>
      <c r="B723" s="24"/>
      <c r="F723" s="27"/>
      <c r="K723" s="24"/>
    </row>
    <row r="724">
      <c r="A724" s="24"/>
      <c r="B724" s="24"/>
      <c r="F724" s="27"/>
      <c r="K724" s="24"/>
    </row>
    <row r="725">
      <c r="A725" s="24"/>
      <c r="B725" s="24"/>
      <c r="F725" s="27"/>
      <c r="K725" s="24"/>
    </row>
    <row r="726">
      <c r="A726" s="24"/>
      <c r="B726" s="24"/>
      <c r="F726" s="27"/>
      <c r="K726" s="24"/>
    </row>
    <row r="727">
      <c r="A727" s="24"/>
      <c r="B727" s="24"/>
      <c r="F727" s="27"/>
      <c r="K727" s="24"/>
    </row>
    <row r="728">
      <c r="A728" s="24"/>
      <c r="B728" s="24"/>
      <c r="F728" s="27"/>
      <c r="K728" s="24"/>
    </row>
    <row r="729">
      <c r="A729" s="24"/>
      <c r="B729" s="24"/>
      <c r="F729" s="27"/>
      <c r="K729" s="24"/>
    </row>
    <row r="730">
      <c r="A730" s="24"/>
      <c r="B730" s="24"/>
      <c r="F730" s="27"/>
      <c r="K730" s="24"/>
    </row>
    <row r="731">
      <c r="A731" s="24"/>
      <c r="B731" s="24"/>
      <c r="F731" s="27"/>
      <c r="K731" s="24"/>
    </row>
    <row r="732">
      <c r="A732" s="24"/>
      <c r="B732" s="24"/>
      <c r="F732" s="27"/>
      <c r="K732" s="24"/>
    </row>
    <row r="733">
      <c r="A733" s="24"/>
      <c r="B733" s="24"/>
      <c r="F733" s="27"/>
      <c r="K733" s="24"/>
    </row>
    <row r="734">
      <c r="A734" s="24"/>
      <c r="B734" s="24"/>
      <c r="F734" s="27"/>
      <c r="K734" s="24"/>
    </row>
    <row r="735">
      <c r="A735" s="24"/>
      <c r="B735" s="24"/>
      <c r="F735" s="27"/>
      <c r="K735" s="24"/>
    </row>
    <row r="736">
      <c r="A736" s="24"/>
      <c r="B736" s="24"/>
      <c r="F736" s="27"/>
      <c r="K736" s="24"/>
    </row>
    <row r="737">
      <c r="A737" s="24"/>
      <c r="B737" s="24"/>
      <c r="F737" s="27"/>
      <c r="K737" s="24"/>
    </row>
    <row r="738">
      <c r="A738" s="24"/>
      <c r="B738" s="24"/>
      <c r="F738" s="27"/>
      <c r="K738" s="24"/>
    </row>
    <row r="739">
      <c r="A739" s="24"/>
      <c r="B739" s="24"/>
      <c r="F739" s="27"/>
      <c r="K739" s="24"/>
    </row>
    <row r="740">
      <c r="A740" s="24"/>
      <c r="B740" s="24"/>
      <c r="F740" s="27"/>
      <c r="K740" s="24"/>
    </row>
    <row r="741">
      <c r="A741" s="24"/>
      <c r="B741" s="24"/>
      <c r="F741" s="27"/>
      <c r="K741" s="24"/>
    </row>
    <row r="742">
      <c r="A742" s="24"/>
      <c r="B742" s="24"/>
      <c r="F742" s="27"/>
      <c r="K742" s="24"/>
    </row>
    <row r="743">
      <c r="A743" s="24"/>
      <c r="B743" s="24"/>
      <c r="F743" s="27"/>
      <c r="K743" s="24"/>
    </row>
    <row r="744">
      <c r="A744" s="24"/>
      <c r="B744" s="24"/>
      <c r="F744" s="27"/>
      <c r="K744" s="24"/>
    </row>
    <row r="745">
      <c r="A745" s="24"/>
      <c r="B745" s="24"/>
      <c r="F745" s="27"/>
      <c r="K745" s="24"/>
    </row>
    <row r="746">
      <c r="A746" s="24"/>
      <c r="B746" s="24"/>
      <c r="F746" s="27"/>
      <c r="K746" s="24"/>
    </row>
    <row r="747">
      <c r="A747" s="24"/>
      <c r="B747" s="24"/>
      <c r="F747" s="27"/>
      <c r="K747" s="24"/>
    </row>
    <row r="748">
      <c r="A748" s="24"/>
      <c r="B748" s="24"/>
      <c r="F748" s="27"/>
      <c r="K748" s="24"/>
    </row>
    <row r="749">
      <c r="A749" s="24"/>
      <c r="B749" s="24"/>
      <c r="F749" s="27"/>
      <c r="K749" s="24"/>
    </row>
    <row r="750">
      <c r="A750" s="24"/>
      <c r="B750" s="24"/>
      <c r="F750" s="27"/>
      <c r="K750" s="24"/>
    </row>
    <row r="751">
      <c r="A751" s="24"/>
      <c r="B751" s="24"/>
      <c r="F751" s="27"/>
      <c r="K751" s="24"/>
    </row>
    <row r="752">
      <c r="A752" s="24"/>
      <c r="B752" s="24"/>
      <c r="F752" s="27"/>
      <c r="K752" s="24"/>
    </row>
    <row r="753">
      <c r="A753" s="24"/>
      <c r="B753" s="24"/>
      <c r="F753" s="27"/>
      <c r="K753" s="24"/>
    </row>
    <row r="754">
      <c r="A754" s="24"/>
      <c r="B754" s="24"/>
      <c r="F754" s="27"/>
      <c r="K754" s="24"/>
    </row>
    <row r="755">
      <c r="A755" s="24"/>
      <c r="B755" s="24"/>
      <c r="F755" s="27"/>
      <c r="K755" s="24"/>
    </row>
    <row r="756">
      <c r="A756" s="24"/>
      <c r="B756" s="24"/>
      <c r="F756" s="27"/>
      <c r="K756" s="24"/>
    </row>
    <row r="757">
      <c r="A757" s="24"/>
      <c r="B757" s="24"/>
      <c r="F757" s="27"/>
      <c r="K757" s="24"/>
    </row>
    <row r="758">
      <c r="A758" s="24"/>
      <c r="B758" s="24"/>
      <c r="F758" s="27"/>
      <c r="K758" s="24"/>
    </row>
    <row r="759">
      <c r="A759" s="24"/>
      <c r="B759" s="24"/>
      <c r="F759" s="27"/>
      <c r="K759" s="24"/>
    </row>
    <row r="760">
      <c r="A760" s="24"/>
      <c r="B760" s="24"/>
      <c r="F760" s="27"/>
      <c r="K760" s="24"/>
    </row>
    <row r="761">
      <c r="A761" s="24"/>
      <c r="B761" s="24"/>
      <c r="F761" s="27"/>
      <c r="K761" s="24"/>
    </row>
    <row r="762">
      <c r="A762" s="24"/>
      <c r="B762" s="24"/>
      <c r="F762" s="27"/>
      <c r="K762" s="24"/>
    </row>
    <row r="763">
      <c r="A763" s="24"/>
      <c r="B763" s="24"/>
      <c r="F763" s="27"/>
      <c r="K763" s="24"/>
    </row>
    <row r="764">
      <c r="A764" s="24"/>
      <c r="B764" s="24"/>
      <c r="F764" s="27"/>
      <c r="K764" s="24"/>
    </row>
    <row r="765">
      <c r="A765" s="24"/>
      <c r="B765" s="24"/>
      <c r="F765" s="27"/>
      <c r="K765" s="24"/>
    </row>
    <row r="766">
      <c r="A766" s="24"/>
      <c r="B766" s="24"/>
      <c r="F766" s="27"/>
      <c r="K766" s="24"/>
    </row>
    <row r="767">
      <c r="A767" s="24"/>
      <c r="B767" s="24"/>
      <c r="F767" s="27"/>
      <c r="K767" s="24"/>
    </row>
    <row r="768">
      <c r="A768" s="24"/>
      <c r="B768" s="24"/>
      <c r="F768" s="27"/>
      <c r="K768" s="24"/>
    </row>
    <row r="769">
      <c r="A769" s="24"/>
      <c r="B769" s="24"/>
      <c r="F769" s="27"/>
      <c r="K769" s="24"/>
    </row>
    <row r="770">
      <c r="A770" s="24"/>
      <c r="B770" s="24"/>
      <c r="F770" s="27"/>
      <c r="K770" s="24"/>
    </row>
    <row r="771">
      <c r="A771" s="24"/>
      <c r="B771" s="24"/>
      <c r="F771" s="27"/>
      <c r="K771" s="24"/>
    </row>
    <row r="772">
      <c r="A772" s="24"/>
      <c r="B772" s="24"/>
      <c r="F772" s="27"/>
      <c r="K772" s="24"/>
    </row>
    <row r="773">
      <c r="A773" s="24"/>
      <c r="B773" s="24"/>
      <c r="F773" s="27"/>
      <c r="K773" s="24"/>
    </row>
    <row r="774">
      <c r="A774" s="24"/>
      <c r="B774" s="24"/>
      <c r="F774" s="27"/>
      <c r="K774" s="24"/>
    </row>
    <row r="775">
      <c r="A775" s="24"/>
      <c r="B775" s="24"/>
      <c r="F775" s="27"/>
      <c r="K775" s="24"/>
    </row>
    <row r="776">
      <c r="A776" s="24"/>
      <c r="B776" s="24"/>
      <c r="F776" s="27"/>
      <c r="K776" s="24"/>
    </row>
    <row r="777">
      <c r="A777" s="24"/>
      <c r="B777" s="24"/>
      <c r="F777" s="27"/>
      <c r="K777" s="24"/>
    </row>
    <row r="778">
      <c r="A778" s="24"/>
      <c r="B778" s="24"/>
      <c r="F778" s="27"/>
      <c r="K778" s="24"/>
    </row>
    <row r="779">
      <c r="A779" s="24"/>
      <c r="B779" s="24"/>
      <c r="F779" s="27"/>
      <c r="K779" s="24"/>
    </row>
    <row r="780">
      <c r="A780" s="24"/>
      <c r="B780" s="24"/>
      <c r="F780" s="27"/>
      <c r="K780" s="24"/>
    </row>
    <row r="781">
      <c r="A781" s="24"/>
      <c r="B781" s="24"/>
      <c r="F781" s="27"/>
      <c r="K781" s="24"/>
    </row>
    <row r="782">
      <c r="A782" s="24"/>
      <c r="B782" s="24"/>
      <c r="F782" s="27"/>
      <c r="K782" s="24"/>
    </row>
    <row r="783">
      <c r="A783" s="24"/>
      <c r="B783" s="24"/>
      <c r="F783" s="27"/>
      <c r="K783" s="24"/>
    </row>
    <row r="784">
      <c r="A784" s="24"/>
      <c r="B784" s="24"/>
      <c r="F784" s="27"/>
      <c r="K784" s="24"/>
    </row>
    <row r="785">
      <c r="A785" s="24"/>
      <c r="B785" s="24"/>
      <c r="F785" s="27"/>
      <c r="K785" s="24"/>
    </row>
    <row r="786">
      <c r="A786" s="24"/>
      <c r="B786" s="24"/>
      <c r="F786" s="27"/>
      <c r="K786" s="24"/>
    </row>
    <row r="787">
      <c r="A787" s="24"/>
      <c r="B787" s="24"/>
      <c r="F787" s="27"/>
      <c r="K787" s="24"/>
    </row>
    <row r="788">
      <c r="A788" s="24"/>
      <c r="B788" s="24"/>
      <c r="F788" s="27"/>
      <c r="K788" s="24"/>
    </row>
    <row r="789">
      <c r="A789" s="24"/>
      <c r="B789" s="24"/>
      <c r="F789" s="27"/>
      <c r="K789" s="24"/>
    </row>
    <row r="790">
      <c r="A790" s="24"/>
      <c r="B790" s="24"/>
      <c r="F790" s="27"/>
      <c r="K790" s="24"/>
    </row>
    <row r="791">
      <c r="A791" s="24"/>
      <c r="B791" s="24"/>
      <c r="F791" s="27"/>
      <c r="K791" s="24"/>
    </row>
    <row r="792">
      <c r="A792" s="24"/>
      <c r="B792" s="24"/>
      <c r="F792" s="27"/>
      <c r="K792" s="24"/>
    </row>
    <row r="793">
      <c r="A793" s="24"/>
      <c r="B793" s="24"/>
      <c r="F793" s="27"/>
      <c r="K793" s="24"/>
    </row>
    <row r="794">
      <c r="A794" s="24"/>
      <c r="B794" s="24"/>
      <c r="F794" s="27"/>
      <c r="K794" s="24"/>
    </row>
    <row r="795">
      <c r="A795" s="24"/>
      <c r="B795" s="24"/>
      <c r="F795" s="27"/>
      <c r="K795" s="24"/>
    </row>
    <row r="796">
      <c r="A796" s="24"/>
      <c r="B796" s="24"/>
      <c r="F796" s="27"/>
      <c r="K796" s="24"/>
    </row>
    <row r="797">
      <c r="A797" s="24"/>
      <c r="B797" s="24"/>
      <c r="F797" s="27"/>
      <c r="K797" s="24"/>
    </row>
    <row r="798">
      <c r="A798" s="24"/>
      <c r="B798" s="24"/>
      <c r="F798" s="27"/>
      <c r="K798" s="24"/>
    </row>
    <row r="799">
      <c r="A799" s="24"/>
      <c r="B799" s="24"/>
      <c r="F799" s="27"/>
      <c r="K799" s="24"/>
    </row>
    <row r="800">
      <c r="A800" s="24"/>
      <c r="B800" s="24"/>
      <c r="F800" s="27"/>
      <c r="K800" s="24"/>
    </row>
    <row r="801">
      <c r="A801" s="24"/>
      <c r="B801" s="24"/>
      <c r="F801" s="27"/>
      <c r="K801" s="24"/>
    </row>
    <row r="802">
      <c r="A802" s="24"/>
      <c r="B802" s="24"/>
      <c r="F802" s="27"/>
      <c r="K802" s="24"/>
    </row>
    <row r="803">
      <c r="A803" s="24"/>
      <c r="B803" s="24"/>
      <c r="F803" s="27"/>
      <c r="K803" s="24"/>
    </row>
    <row r="804">
      <c r="A804" s="24"/>
      <c r="B804" s="24"/>
      <c r="F804" s="27"/>
      <c r="K804" s="24"/>
    </row>
    <row r="805">
      <c r="A805" s="24"/>
      <c r="B805" s="24"/>
      <c r="F805" s="27"/>
      <c r="K805" s="24"/>
    </row>
    <row r="806">
      <c r="A806" s="24"/>
      <c r="B806" s="24"/>
      <c r="F806" s="27"/>
      <c r="K806" s="24"/>
    </row>
    <row r="807">
      <c r="A807" s="24"/>
      <c r="B807" s="24"/>
      <c r="F807" s="27"/>
      <c r="K807" s="24"/>
    </row>
    <row r="808">
      <c r="A808" s="24"/>
      <c r="B808" s="24"/>
      <c r="F808" s="27"/>
      <c r="K808" s="24"/>
    </row>
    <row r="809">
      <c r="A809" s="24"/>
      <c r="B809" s="24"/>
      <c r="F809" s="27"/>
      <c r="K809" s="24"/>
    </row>
    <row r="810">
      <c r="A810" s="24"/>
      <c r="B810" s="24"/>
      <c r="F810" s="27"/>
      <c r="K810" s="24"/>
    </row>
    <row r="811">
      <c r="A811" s="24"/>
      <c r="B811" s="24"/>
      <c r="F811" s="27"/>
      <c r="K811" s="24"/>
    </row>
    <row r="812">
      <c r="A812" s="24"/>
      <c r="B812" s="24"/>
      <c r="F812" s="27"/>
      <c r="K812" s="24"/>
    </row>
    <row r="813">
      <c r="A813" s="24"/>
      <c r="B813" s="24"/>
      <c r="F813" s="27"/>
      <c r="K813" s="24"/>
    </row>
    <row r="814">
      <c r="A814" s="24"/>
      <c r="B814" s="24"/>
      <c r="F814" s="27"/>
      <c r="K814" s="24"/>
    </row>
    <row r="815">
      <c r="A815" s="24"/>
      <c r="B815" s="24"/>
      <c r="F815" s="27"/>
      <c r="K815" s="24"/>
    </row>
    <row r="816">
      <c r="A816" s="24"/>
      <c r="B816" s="24"/>
      <c r="F816" s="27"/>
      <c r="K816" s="24"/>
    </row>
    <row r="817">
      <c r="A817" s="24"/>
      <c r="B817" s="24"/>
      <c r="F817" s="27"/>
      <c r="K817" s="24"/>
    </row>
    <row r="818">
      <c r="A818" s="24"/>
      <c r="B818" s="24"/>
      <c r="F818" s="27"/>
      <c r="K818" s="24"/>
    </row>
    <row r="819">
      <c r="A819" s="24"/>
      <c r="B819" s="24"/>
      <c r="F819" s="27"/>
      <c r="K819" s="24"/>
    </row>
    <row r="820">
      <c r="A820" s="24"/>
      <c r="B820" s="24"/>
      <c r="F820" s="27"/>
      <c r="K820" s="24"/>
    </row>
    <row r="821">
      <c r="A821" s="24"/>
      <c r="B821" s="24"/>
      <c r="F821" s="27"/>
      <c r="K821" s="24"/>
    </row>
    <row r="822">
      <c r="A822" s="24"/>
      <c r="B822" s="24"/>
      <c r="F822" s="27"/>
      <c r="K822" s="24"/>
    </row>
    <row r="823">
      <c r="A823" s="24"/>
      <c r="B823" s="24"/>
      <c r="F823" s="27"/>
      <c r="K823" s="24"/>
    </row>
    <row r="824">
      <c r="A824" s="24"/>
      <c r="B824" s="24"/>
      <c r="F824" s="27"/>
      <c r="K824" s="24"/>
    </row>
    <row r="825">
      <c r="A825" s="24"/>
      <c r="B825" s="24"/>
      <c r="F825" s="27"/>
      <c r="K825" s="24"/>
    </row>
    <row r="826">
      <c r="A826" s="24"/>
      <c r="B826" s="24"/>
      <c r="F826" s="27"/>
      <c r="K826" s="24"/>
    </row>
    <row r="827">
      <c r="A827" s="24"/>
      <c r="B827" s="24"/>
      <c r="F827" s="27"/>
      <c r="K827" s="24"/>
    </row>
    <row r="828">
      <c r="A828" s="24"/>
      <c r="B828" s="24"/>
      <c r="F828" s="27"/>
      <c r="K828" s="24"/>
    </row>
    <row r="829">
      <c r="A829" s="24"/>
      <c r="B829" s="24"/>
      <c r="F829" s="27"/>
      <c r="K829" s="24"/>
    </row>
    <row r="830">
      <c r="A830" s="24"/>
      <c r="B830" s="24"/>
      <c r="F830" s="27"/>
      <c r="K830" s="24"/>
    </row>
    <row r="831">
      <c r="A831" s="24"/>
      <c r="B831" s="24"/>
      <c r="F831" s="27"/>
      <c r="K831" s="24"/>
    </row>
    <row r="832">
      <c r="A832" s="24"/>
      <c r="B832" s="24"/>
      <c r="F832" s="27"/>
      <c r="K832" s="24"/>
    </row>
    <row r="833">
      <c r="A833" s="24"/>
      <c r="B833" s="24"/>
      <c r="F833" s="27"/>
      <c r="K833" s="24"/>
    </row>
    <row r="834">
      <c r="A834" s="24"/>
      <c r="B834" s="24"/>
      <c r="F834" s="27"/>
      <c r="K834" s="24"/>
    </row>
    <row r="835">
      <c r="A835" s="24"/>
      <c r="B835" s="24"/>
      <c r="F835" s="27"/>
      <c r="K835" s="24"/>
    </row>
    <row r="836">
      <c r="A836" s="24"/>
      <c r="B836" s="24"/>
      <c r="F836" s="27"/>
      <c r="K836" s="24"/>
    </row>
    <row r="837">
      <c r="A837" s="24"/>
      <c r="B837" s="24"/>
      <c r="F837" s="27"/>
      <c r="K837" s="24"/>
    </row>
    <row r="838">
      <c r="A838" s="24"/>
      <c r="B838" s="24"/>
      <c r="F838" s="27"/>
      <c r="K838" s="24"/>
    </row>
    <row r="839">
      <c r="A839" s="24"/>
      <c r="B839" s="24"/>
      <c r="F839" s="27"/>
      <c r="K839" s="24"/>
    </row>
    <row r="840">
      <c r="A840" s="24"/>
      <c r="B840" s="24"/>
      <c r="F840" s="27"/>
      <c r="K840" s="24"/>
    </row>
    <row r="841">
      <c r="A841" s="24"/>
      <c r="B841" s="24"/>
      <c r="F841" s="27"/>
      <c r="K841" s="24"/>
    </row>
    <row r="842">
      <c r="A842" s="24"/>
      <c r="B842" s="24"/>
      <c r="F842" s="27"/>
      <c r="K842" s="24"/>
    </row>
    <row r="843">
      <c r="A843" s="24"/>
      <c r="B843" s="24"/>
      <c r="F843" s="27"/>
      <c r="K843" s="24"/>
    </row>
    <row r="844">
      <c r="A844" s="24"/>
      <c r="B844" s="24"/>
      <c r="F844" s="27"/>
      <c r="K844" s="24"/>
    </row>
    <row r="845">
      <c r="A845" s="24"/>
      <c r="B845" s="24"/>
      <c r="F845" s="27"/>
      <c r="K845" s="24"/>
    </row>
    <row r="846">
      <c r="A846" s="24"/>
      <c r="B846" s="24"/>
      <c r="F846" s="27"/>
      <c r="K846" s="24"/>
    </row>
    <row r="847">
      <c r="A847" s="24"/>
      <c r="B847" s="24"/>
      <c r="F847" s="27"/>
      <c r="K847" s="24"/>
    </row>
    <row r="848">
      <c r="A848" s="24"/>
      <c r="B848" s="24"/>
      <c r="F848" s="27"/>
      <c r="K848" s="24"/>
    </row>
    <row r="849">
      <c r="A849" s="24"/>
      <c r="B849" s="24"/>
      <c r="F849" s="27"/>
      <c r="K849" s="24"/>
    </row>
    <row r="850">
      <c r="A850" s="24"/>
      <c r="B850" s="24"/>
      <c r="F850" s="27"/>
      <c r="K850" s="24"/>
    </row>
    <row r="851">
      <c r="A851" s="24"/>
      <c r="B851" s="24"/>
      <c r="F851" s="27"/>
      <c r="K851" s="24"/>
    </row>
    <row r="852">
      <c r="A852" s="24"/>
      <c r="B852" s="24"/>
      <c r="F852" s="27"/>
      <c r="K852" s="24"/>
    </row>
    <row r="853">
      <c r="A853" s="24"/>
      <c r="B853" s="24"/>
      <c r="F853" s="27"/>
      <c r="K853" s="24"/>
    </row>
    <row r="854">
      <c r="A854" s="24"/>
      <c r="B854" s="24"/>
      <c r="F854" s="27"/>
      <c r="K854" s="24"/>
    </row>
    <row r="855">
      <c r="A855" s="24"/>
      <c r="B855" s="24"/>
      <c r="F855" s="27"/>
      <c r="K855" s="24"/>
    </row>
    <row r="856">
      <c r="A856" s="24"/>
      <c r="B856" s="24"/>
      <c r="F856" s="27"/>
      <c r="K856" s="24"/>
    </row>
    <row r="857">
      <c r="A857" s="24"/>
      <c r="B857" s="24"/>
      <c r="F857" s="27"/>
      <c r="K857" s="24"/>
    </row>
    <row r="858">
      <c r="A858" s="24"/>
      <c r="B858" s="24"/>
      <c r="F858" s="27"/>
      <c r="K858" s="24"/>
    </row>
    <row r="859">
      <c r="A859" s="24"/>
      <c r="B859" s="24"/>
      <c r="F859" s="27"/>
      <c r="K859" s="24"/>
    </row>
    <row r="860">
      <c r="A860" s="24"/>
      <c r="B860" s="24"/>
      <c r="F860" s="27"/>
      <c r="K860" s="24"/>
    </row>
    <row r="861">
      <c r="A861" s="24"/>
      <c r="B861" s="24"/>
      <c r="F861" s="27"/>
      <c r="K861" s="24"/>
    </row>
    <row r="862">
      <c r="A862" s="24"/>
      <c r="B862" s="24"/>
      <c r="F862" s="27"/>
      <c r="K862" s="24"/>
    </row>
    <row r="863">
      <c r="A863" s="24"/>
      <c r="B863" s="24"/>
      <c r="F863" s="27"/>
      <c r="K863" s="24"/>
    </row>
    <row r="864">
      <c r="A864" s="24"/>
      <c r="B864" s="24"/>
      <c r="F864" s="27"/>
      <c r="K864" s="24"/>
    </row>
    <row r="865">
      <c r="A865" s="24"/>
      <c r="B865" s="24"/>
      <c r="F865" s="27"/>
      <c r="K865" s="24"/>
    </row>
    <row r="866">
      <c r="A866" s="24"/>
      <c r="B866" s="24"/>
      <c r="F866" s="27"/>
      <c r="K866" s="24"/>
    </row>
    <row r="867">
      <c r="A867" s="24"/>
      <c r="B867" s="24"/>
      <c r="F867" s="27"/>
      <c r="K867" s="24"/>
    </row>
    <row r="868">
      <c r="A868" s="24"/>
      <c r="B868" s="24"/>
      <c r="F868" s="27"/>
      <c r="K868" s="24"/>
    </row>
    <row r="869">
      <c r="A869" s="24"/>
      <c r="B869" s="24"/>
      <c r="F869" s="27"/>
      <c r="K869" s="24"/>
    </row>
    <row r="870">
      <c r="A870" s="24"/>
      <c r="B870" s="24"/>
      <c r="F870" s="27"/>
      <c r="K870" s="24"/>
    </row>
    <row r="871">
      <c r="A871" s="24"/>
      <c r="B871" s="24"/>
      <c r="F871" s="27"/>
      <c r="K871" s="24"/>
    </row>
    <row r="872">
      <c r="A872" s="24"/>
      <c r="B872" s="24"/>
      <c r="F872" s="27"/>
      <c r="K872" s="24"/>
    </row>
    <row r="873">
      <c r="A873" s="24"/>
      <c r="B873" s="24"/>
      <c r="F873" s="27"/>
      <c r="K873" s="24"/>
    </row>
    <row r="874">
      <c r="A874" s="24"/>
      <c r="B874" s="24"/>
      <c r="F874" s="27"/>
      <c r="K874" s="24"/>
    </row>
    <row r="875">
      <c r="A875" s="24"/>
      <c r="B875" s="24"/>
      <c r="F875" s="27"/>
      <c r="K875" s="24"/>
    </row>
    <row r="876">
      <c r="A876" s="24"/>
      <c r="B876" s="24"/>
      <c r="F876" s="27"/>
      <c r="K876" s="24"/>
    </row>
    <row r="877">
      <c r="A877" s="24"/>
      <c r="B877" s="24"/>
      <c r="F877" s="27"/>
      <c r="K877" s="24"/>
    </row>
    <row r="878">
      <c r="A878" s="24"/>
      <c r="B878" s="24"/>
      <c r="F878" s="27"/>
      <c r="K878" s="24"/>
    </row>
    <row r="879">
      <c r="A879" s="24"/>
      <c r="B879" s="24"/>
      <c r="F879" s="27"/>
      <c r="K879" s="24"/>
    </row>
    <row r="880">
      <c r="A880" s="24"/>
      <c r="B880" s="24"/>
      <c r="F880" s="27"/>
      <c r="K880" s="24"/>
    </row>
    <row r="881">
      <c r="A881" s="24"/>
      <c r="B881" s="24"/>
      <c r="F881" s="27"/>
      <c r="K881" s="24"/>
    </row>
    <row r="882">
      <c r="A882" s="24"/>
      <c r="B882" s="24"/>
      <c r="F882" s="27"/>
      <c r="K882" s="24"/>
    </row>
    <row r="883">
      <c r="A883" s="24"/>
      <c r="B883" s="24"/>
      <c r="F883" s="27"/>
      <c r="K883" s="24"/>
    </row>
    <row r="884">
      <c r="A884" s="24"/>
      <c r="B884" s="24"/>
      <c r="F884" s="27"/>
      <c r="K884" s="24"/>
    </row>
    <row r="885">
      <c r="A885" s="24"/>
      <c r="B885" s="24"/>
      <c r="F885" s="27"/>
      <c r="K885" s="24"/>
    </row>
    <row r="886">
      <c r="A886" s="24"/>
      <c r="B886" s="24"/>
      <c r="F886" s="27"/>
      <c r="K886" s="24"/>
    </row>
    <row r="887">
      <c r="A887" s="24"/>
      <c r="B887" s="24"/>
      <c r="F887" s="27"/>
      <c r="K887" s="24"/>
    </row>
    <row r="888">
      <c r="A888" s="24"/>
      <c r="B888" s="24"/>
      <c r="F888" s="27"/>
      <c r="K888" s="24"/>
    </row>
    <row r="889">
      <c r="A889" s="24"/>
      <c r="B889" s="24"/>
      <c r="F889" s="27"/>
      <c r="K889" s="24"/>
    </row>
    <row r="890">
      <c r="A890" s="24"/>
      <c r="B890" s="24"/>
      <c r="F890" s="27"/>
      <c r="K890" s="24"/>
    </row>
    <row r="891">
      <c r="A891" s="24"/>
      <c r="B891" s="24"/>
      <c r="F891" s="27"/>
      <c r="K891" s="24"/>
    </row>
    <row r="892">
      <c r="A892" s="24"/>
      <c r="B892" s="24"/>
      <c r="F892" s="27"/>
      <c r="K892" s="24"/>
    </row>
    <row r="893">
      <c r="A893" s="24"/>
      <c r="B893" s="24"/>
      <c r="F893" s="27"/>
      <c r="K893" s="24"/>
    </row>
    <row r="894">
      <c r="A894" s="24"/>
      <c r="B894" s="24"/>
      <c r="F894" s="27"/>
      <c r="K894" s="24"/>
    </row>
    <row r="895">
      <c r="A895" s="24"/>
      <c r="B895" s="24"/>
      <c r="F895" s="27"/>
      <c r="K895" s="24"/>
    </row>
    <row r="896">
      <c r="A896" s="24"/>
      <c r="B896" s="24"/>
      <c r="F896" s="27"/>
      <c r="K896" s="24"/>
    </row>
    <row r="897">
      <c r="A897" s="24"/>
      <c r="B897" s="24"/>
      <c r="F897" s="27"/>
      <c r="K897" s="24"/>
    </row>
    <row r="898">
      <c r="A898" s="24"/>
      <c r="B898" s="24"/>
      <c r="F898" s="27"/>
      <c r="K898" s="24"/>
    </row>
    <row r="899">
      <c r="A899" s="24"/>
      <c r="B899" s="24"/>
      <c r="F899" s="27"/>
      <c r="K899" s="24"/>
    </row>
    <row r="900">
      <c r="A900" s="24"/>
      <c r="B900" s="24"/>
      <c r="F900" s="27"/>
      <c r="K900" s="24"/>
    </row>
    <row r="901">
      <c r="A901" s="24"/>
      <c r="B901" s="24"/>
      <c r="F901" s="27"/>
      <c r="K901" s="24"/>
    </row>
    <row r="902">
      <c r="A902" s="24"/>
      <c r="B902" s="24"/>
      <c r="F902" s="27"/>
      <c r="K902" s="24"/>
    </row>
    <row r="903">
      <c r="A903" s="24"/>
      <c r="B903" s="24"/>
      <c r="F903" s="27"/>
      <c r="K903" s="24"/>
    </row>
    <row r="904">
      <c r="A904" s="24"/>
      <c r="B904" s="24"/>
      <c r="F904" s="27"/>
      <c r="K904" s="24"/>
    </row>
    <row r="905">
      <c r="A905" s="24"/>
      <c r="B905" s="24"/>
      <c r="F905" s="27"/>
      <c r="K905" s="24"/>
    </row>
    <row r="906">
      <c r="A906" s="24"/>
      <c r="B906" s="24"/>
      <c r="F906" s="27"/>
      <c r="K906" s="24"/>
    </row>
    <row r="907">
      <c r="A907" s="24"/>
      <c r="B907" s="24"/>
      <c r="F907" s="27"/>
      <c r="K907" s="24"/>
    </row>
    <row r="908">
      <c r="A908" s="24"/>
      <c r="B908" s="24"/>
      <c r="F908" s="27"/>
      <c r="K908" s="24"/>
    </row>
    <row r="909">
      <c r="A909" s="24"/>
      <c r="B909" s="24"/>
      <c r="F909" s="27"/>
      <c r="K909" s="24"/>
    </row>
    <row r="910">
      <c r="A910" s="24"/>
      <c r="B910" s="24"/>
      <c r="F910" s="27"/>
      <c r="K910" s="24"/>
    </row>
    <row r="911">
      <c r="A911" s="24"/>
      <c r="B911" s="24"/>
      <c r="F911" s="27"/>
      <c r="K911" s="24"/>
    </row>
    <row r="912">
      <c r="A912" s="24"/>
      <c r="B912" s="24"/>
      <c r="F912" s="27"/>
      <c r="K912" s="24"/>
    </row>
    <row r="913">
      <c r="A913" s="24"/>
      <c r="B913" s="24"/>
      <c r="F913" s="27"/>
      <c r="K913" s="24"/>
    </row>
    <row r="914">
      <c r="A914" s="24"/>
      <c r="B914" s="24"/>
      <c r="F914" s="27"/>
      <c r="K914" s="24"/>
    </row>
    <row r="915">
      <c r="A915" s="24"/>
      <c r="B915" s="24"/>
      <c r="F915" s="27"/>
      <c r="K915" s="24"/>
    </row>
    <row r="916">
      <c r="A916" s="24"/>
      <c r="B916" s="24"/>
      <c r="F916" s="27"/>
      <c r="K916" s="24"/>
    </row>
    <row r="917">
      <c r="A917" s="24"/>
      <c r="B917" s="24"/>
      <c r="F917" s="27"/>
      <c r="K917" s="24"/>
    </row>
    <row r="918">
      <c r="A918" s="24"/>
      <c r="B918" s="24"/>
      <c r="F918" s="27"/>
      <c r="K918" s="24"/>
    </row>
    <row r="919">
      <c r="A919" s="24"/>
      <c r="B919" s="24"/>
      <c r="F919" s="27"/>
      <c r="K919" s="24"/>
    </row>
    <row r="920">
      <c r="A920" s="24"/>
      <c r="B920" s="24"/>
      <c r="F920" s="27"/>
      <c r="K920" s="24"/>
    </row>
    <row r="921">
      <c r="A921" s="24"/>
      <c r="B921" s="24"/>
      <c r="F921" s="27"/>
      <c r="K921" s="24"/>
    </row>
    <row r="922">
      <c r="A922" s="24"/>
      <c r="B922" s="24"/>
      <c r="F922" s="27"/>
      <c r="K922" s="24"/>
    </row>
    <row r="923">
      <c r="A923" s="24"/>
      <c r="B923" s="24"/>
      <c r="F923" s="27"/>
      <c r="K923" s="24"/>
    </row>
    <row r="924">
      <c r="A924" s="24"/>
      <c r="B924" s="24"/>
      <c r="F924" s="27"/>
      <c r="K924" s="24"/>
    </row>
    <row r="925">
      <c r="A925" s="24"/>
      <c r="B925" s="24"/>
      <c r="F925" s="27"/>
      <c r="K925" s="24"/>
    </row>
    <row r="926">
      <c r="A926" s="24"/>
      <c r="B926" s="24"/>
      <c r="F926" s="27"/>
      <c r="K926" s="24"/>
    </row>
    <row r="927">
      <c r="A927" s="24"/>
      <c r="B927" s="24"/>
      <c r="F927" s="27"/>
      <c r="K927" s="24"/>
    </row>
    <row r="928">
      <c r="A928" s="24"/>
      <c r="B928" s="24"/>
      <c r="F928" s="27"/>
      <c r="K928" s="24"/>
    </row>
    <row r="929">
      <c r="A929" s="24"/>
      <c r="B929" s="24"/>
      <c r="F929" s="27"/>
      <c r="K929" s="24"/>
    </row>
    <row r="930">
      <c r="A930" s="24"/>
      <c r="B930" s="24"/>
      <c r="F930" s="27"/>
      <c r="K930" s="24"/>
    </row>
    <row r="931">
      <c r="A931" s="24"/>
      <c r="B931" s="24"/>
      <c r="F931" s="27"/>
      <c r="K931" s="24"/>
    </row>
    <row r="932">
      <c r="A932" s="24"/>
      <c r="B932" s="24"/>
      <c r="F932" s="27"/>
      <c r="K932" s="24"/>
    </row>
    <row r="933">
      <c r="A933" s="24"/>
      <c r="B933" s="24"/>
      <c r="F933" s="27"/>
      <c r="K933" s="24"/>
    </row>
    <row r="934">
      <c r="A934" s="24"/>
      <c r="B934" s="24"/>
      <c r="F934" s="27"/>
      <c r="K934" s="24"/>
    </row>
    <row r="935">
      <c r="A935" s="24"/>
      <c r="B935" s="24"/>
      <c r="F935" s="27"/>
      <c r="K935" s="24"/>
    </row>
    <row r="936">
      <c r="A936" s="24"/>
      <c r="B936" s="24"/>
      <c r="F936" s="27"/>
      <c r="K936" s="24"/>
    </row>
    <row r="937">
      <c r="A937" s="24"/>
      <c r="B937" s="24"/>
      <c r="F937" s="27"/>
      <c r="K937" s="24"/>
    </row>
    <row r="938">
      <c r="A938" s="24"/>
      <c r="B938" s="24"/>
      <c r="F938" s="27"/>
      <c r="K938" s="24"/>
    </row>
    <row r="939">
      <c r="A939" s="24"/>
      <c r="B939" s="24"/>
      <c r="F939" s="27"/>
      <c r="K939" s="24"/>
    </row>
    <row r="940">
      <c r="A940" s="24"/>
      <c r="B940" s="24"/>
      <c r="F940" s="27"/>
      <c r="K940" s="24"/>
    </row>
    <row r="941">
      <c r="A941" s="24"/>
      <c r="B941" s="24"/>
      <c r="F941" s="27"/>
      <c r="K941" s="24"/>
    </row>
    <row r="942">
      <c r="A942" s="24"/>
      <c r="B942" s="24"/>
      <c r="F942" s="27"/>
      <c r="K942" s="24"/>
    </row>
    <row r="943">
      <c r="A943" s="24"/>
      <c r="B943" s="24"/>
      <c r="F943" s="27"/>
      <c r="K943" s="24"/>
    </row>
    <row r="944">
      <c r="A944" s="24"/>
      <c r="B944" s="24"/>
      <c r="F944" s="27"/>
      <c r="K944" s="24"/>
    </row>
    <row r="945">
      <c r="A945" s="24"/>
      <c r="B945" s="24"/>
      <c r="F945" s="27"/>
      <c r="K945" s="24"/>
    </row>
    <row r="946">
      <c r="A946" s="24"/>
      <c r="B946" s="24"/>
      <c r="F946" s="27"/>
      <c r="K946" s="24"/>
    </row>
    <row r="947">
      <c r="A947" s="24"/>
      <c r="B947" s="24"/>
      <c r="F947" s="27"/>
      <c r="K947" s="24"/>
    </row>
    <row r="948">
      <c r="A948" s="24"/>
      <c r="B948" s="24"/>
      <c r="F948" s="27"/>
      <c r="K948" s="24"/>
    </row>
    <row r="949">
      <c r="A949" s="24"/>
      <c r="B949" s="24"/>
      <c r="F949" s="27"/>
      <c r="K949" s="24"/>
    </row>
    <row r="950">
      <c r="A950" s="24"/>
      <c r="B950" s="24"/>
      <c r="F950" s="27"/>
      <c r="K950" s="24"/>
    </row>
    <row r="951">
      <c r="A951" s="24"/>
      <c r="B951" s="24"/>
      <c r="F951" s="27"/>
      <c r="K951" s="24"/>
    </row>
    <row r="952">
      <c r="A952" s="24"/>
      <c r="B952" s="24"/>
      <c r="F952" s="27"/>
      <c r="K952" s="24"/>
    </row>
    <row r="953">
      <c r="A953" s="24"/>
      <c r="B953" s="24"/>
      <c r="F953" s="27"/>
      <c r="K953" s="24"/>
    </row>
    <row r="954">
      <c r="A954" s="24"/>
      <c r="B954" s="24"/>
      <c r="F954" s="27"/>
      <c r="K954" s="24"/>
    </row>
    <row r="955">
      <c r="A955" s="24"/>
      <c r="B955" s="24"/>
      <c r="F955" s="27"/>
      <c r="K955" s="24"/>
    </row>
    <row r="956">
      <c r="A956" s="24"/>
      <c r="B956" s="24"/>
      <c r="F956" s="27"/>
      <c r="K956" s="24"/>
    </row>
    <row r="957">
      <c r="A957" s="24"/>
      <c r="B957" s="24"/>
      <c r="F957" s="27"/>
      <c r="K957" s="24"/>
    </row>
    <row r="958">
      <c r="A958" s="24"/>
      <c r="B958" s="24"/>
      <c r="F958" s="27"/>
      <c r="K958" s="24"/>
    </row>
    <row r="959">
      <c r="A959" s="24"/>
      <c r="B959" s="24"/>
      <c r="F959" s="27"/>
      <c r="K959" s="24"/>
    </row>
    <row r="960">
      <c r="A960" s="24"/>
      <c r="B960" s="24"/>
      <c r="F960" s="27"/>
      <c r="K960" s="24"/>
    </row>
    <row r="961">
      <c r="A961" s="24"/>
      <c r="B961" s="24"/>
      <c r="F961" s="27"/>
      <c r="K961" s="24"/>
    </row>
    <row r="962">
      <c r="A962" s="24"/>
      <c r="B962" s="24"/>
      <c r="F962" s="27"/>
      <c r="K962" s="24"/>
    </row>
    <row r="963">
      <c r="A963" s="24"/>
      <c r="B963" s="24"/>
      <c r="F963" s="27"/>
      <c r="K963" s="2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75"/>
    <col customWidth="1" min="3" max="3" width="5.88"/>
    <col customWidth="1" min="4" max="4" width="59.0"/>
    <col customWidth="1" min="5" max="5" width="37.75"/>
    <col customWidth="1" min="6" max="6" width="85.38"/>
    <col customWidth="1" min="7" max="7" width="53.5"/>
    <col customWidth="1" min="8" max="8" width="26.5"/>
    <col customWidth="1" min="9" max="9" width="35.63"/>
  </cols>
  <sheetData>
    <row r="1">
      <c r="A1" s="28" t="s">
        <v>5</v>
      </c>
      <c r="B1" s="28" t="s">
        <v>1005</v>
      </c>
      <c r="C1" s="28" t="s">
        <v>3</v>
      </c>
      <c r="D1" s="28" t="s">
        <v>1006</v>
      </c>
      <c r="E1" s="28" t="s">
        <v>1007</v>
      </c>
      <c r="F1" s="28" t="s">
        <v>10</v>
      </c>
      <c r="G1" s="29"/>
    </row>
    <row r="2">
      <c r="A2" s="9">
        <v>46044.0</v>
      </c>
      <c r="B2" s="15">
        <v>0.5729166666666666</v>
      </c>
      <c r="C2" s="8">
        <v>1.0</v>
      </c>
      <c r="D2" s="29" t="s">
        <v>723</v>
      </c>
      <c r="E2" s="7" t="s">
        <v>725</v>
      </c>
      <c r="F2" s="13" t="s">
        <v>726</v>
      </c>
      <c r="G2" s="29"/>
      <c r="I2" s="29"/>
    </row>
    <row r="3">
      <c r="A3" s="9">
        <v>46044.0</v>
      </c>
      <c r="B3" s="15">
        <v>0.6145833333333334</v>
      </c>
      <c r="C3" s="8">
        <v>2.0</v>
      </c>
      <c r="D3" s="29" t="s">
        <v>1008</v>
      </c>
      <c r="E3" s="30" t="s">
        <v>730</v>
      </c>
      <c r="F3" s="13" t="s">
        <v>731</v>
      </c>
      <c r="G3" s="29"/>
      <c r="I3" s="29"/>
    </row>
    <row r="4">
      <c r="A4" s="9">
        <v>46044.0</v>
      </c>
      <c r="B4" s="15">
        <v>0.7395833333333334</v>
      </c>
      <c r="C4" s="8">
        <v>2.0</v>
      </c>
      <c r="D4" s="29" t="s">
        <v>1009</v>
      </c>
      <c r="E4" s="30" t="s">
        <v>173</v>
      </c>
      <c r="F4" s="13" t="s">
        <v>735</v>
      </c>
      <c r="G4" s="29"/>
      <c r="I4" s="29"/>
    </row>
    <row r="5">
      <c r="A5" s="9">
        <v>46044.0</v>
      </c>
      <c r="B5" s="15">
        <v>0.75</v>
      </c>
      <c r="C5" s="8">
        <v>2.0</v>
      </c>
      <c r="D5" s="29" t="s">
        <v>737</v>
      </c>
      <c r="E5" s="7" t="s">
        <v>739</v>
      </c>
      <c r="F5" s="13" t="s">
        <v>740</v>
      </c>
      <c r="G5" s="29"/>
      <c r="I5" s="29"/>
    </row>
    <row r="6">
      <c r="A6" s="9">
        <v>46044.0</v>
      </c>
      <c r="B6" s="15">
        <v>0.5</v>
      </c>
      <c r="C6" s="8">
        <v>3.0</v>
      </c>
      <c r="D6" s="29" t="s">
        <v>742</v>
      </c>
      <c r="E6" s="30" t="s">
        <v>744</v>
      </c>
      <c r="F6" s="13" t="s">
        <v>745</v>
      </c>
      <c r="G6" s="29"/>
      <c r="I6" s="29"/>
    </row>
    <row r="7">
      <c r="A7" s="9">
        <v>46044.0</v>
      </c>
      <c r="B7" s="15">
        <v>0.6458333333333334</v>
      </c>
      <c r="C7" s="8">
        <v>3.0</v>
      </c>
      <c r="D7" s="29" t="s">
        <v>747</v>
      </c>
      <c r="E7" s="7" t="s">
        <v>749</v>
      </c>
      <c r="F7" s="13" t="s">
        <v>750</v>
      </c>
      <c r="G7" s="29"/>
      <c r="I7" s="29"/>
    </row>
    <row r="8">
      <c r="A8" s="9">
        <v>46044.0</v>
      </c>
      <c r="B8" s="15">
        <v>0.65625</v>
      </c>
      <c r="C8" s="8">
        <v>3.0</v>
      </c>
      <c r="D8" s="29" t="s">
        <v>752</v>
      </c>
      <c r="E8" s="31" t="s">
        <v>120</v>
      </c>
      <c r="F8" s="13" t="s">
        <v>754</v>
      </c>
      <c r="G8" s="29"/>
      <c r="I8" s="29"/>
    </row>
    <row r="9">
      <c r="A9" s="9">
        <v>46044.0</v>
      </c>
      <c r="B9" s="15">
        <v>0.7083333333333334</v>
      </c>
      <c r="C9" s="8">
        <v>3.0</v>
      </c>
      <c r="D9" s="29" t="s">
        <v>1010</v>
      </c>
      <c r="E9" s="30" t="s">
        <v>120</v>
      </c>
      <c r="F9" s="13" t="s">
        <v>758</v>
      </c>
      <c r="G9" s="29"/>
      <c r="I9" s="29"/>
    </row>
    <row r="10">
      <c r="A10" s="9">
        <v>46044.0</v>
      </c>
      <c r="B10" s="15">
        <v>0.7291666666666666</v>
      </c>
      <c r="C10" s="8">
        <v>3.0</v>
      </c>
      <c r="D10" s="29" t="s">
        <v>760</v>
      </c>
      <c r="E10" s="30" t="s">
        <v>762</v>
      </c>
      <c r="F10" s="13" t="s">
        <v>763</v>
      </c>
      <c r="G10" s="29"/>
      <c r="I10" s="29"/>
    </row>
    <row r="11">
      <c r="A11" s="9">
        <v>46044.0</v>
      </c>
      <c r="B11" s="15">
        <v>0.7395833333333334</v>
      </c>
      <c r="C11" s="8">
        <v>3.0</v>
      </c>
      <c r="D11" s="29" t="s">
        <v>1011</v>
      </c>
      <c r="E11" s="30" t="s">
        <v>120</v>
      </c>
      <c r="F11" s="13" t="s">
        <v>767</v>
      </c>
      <c r="G11" s="29"/>
      <c r="I11" s="29"/>
    </row>
    <row r="12">
      <c r="A12" s="9">
        <v>46044.0</v>
      </c>
      <c r="B12" s="15">
        <v>0.75</v>
      </c>
      <c r="C12" s="8">
        <v>3.0</v>
      </c>
      <c r="D12" s="29" t="s">
        <v>769</v>
      </c>
      <c r="E12" s="30" t="s">
        <v>120</v>
      </c>
      <c r="F12" s="13" t="s">
        <v>771</v>
      </c>
      <c r="G12" s="29"/>
      <c r="I12" s="29"/>
    </row>
    <row r="13">
      <c r="A13" s="9">
        <v>46044.0</v>
      </c>
      <c r="B13" s="15">
        <v>0.7604166666666666</v>
      </c>
      <c r="C13" s="8">
        <v>3.0</v>
      </c>
      <c r="D13" s="29" t="s">
        <v>773</v>
      </c>
      <c r="E13" s="7" t="s">
        <v>120</v>
      </c>
      <c r="F13" s="13" t="s">
        <v>775</v>
      </c>
      <c r="G13" s="29"/>
      <c r="I13" s="29"/>
    </row>
    <row r="14">
      <c r="A14" s="9">
        <v>46044.0</v>
      </c>
      <c r="B14" s="15">
        <v>0.4479166666666667</v>
      </c>
      <c r="C14" s="8">
        <v>4.0</v>
      </c>
      <c r="D14" s="29" t="s">
        <v>777</v>
      </c>
      <c r="E14" s="32" t="s">
        <v>612</v>
      </c>
      <c r="F14" s="13" t="s">
        <v>779</v>
      </c>
      <c r="G14" s="29"/>
      <c r="I14" s="29"/>
    </row>
    <row r="15">
      <c r="A15" s="9">
        <v>46044.0</v>
      </c>
      <c r="B15" s="15">
        <v>0.6354166666666666</v>
      </c>
      <c r="C15" s="8">
        <v>4.0</v>
      </c>
      <c r="D15" s="29" t="s">
        <v>781</v>
      </c>
      <c r="E15" s="30" t="s">
        <v>725</v>
      </c>
      <c r="F15" s="13" t="s">
        <v>783</v>
      </c>
      <c r="G15" s="29"/>
      <c r="I15" s="29"/>
    </row>
    <row r="16">
      <c r="A16" s="9">
        <v>46044.0</v>
      </c>
      <c r="B16" s="15">
        <v>0.7083333333333334</v>
      </c>
      <c r="C16" s="8">
        <v>4.0</v>
      </c>
      <c r="D16" s="29" t="s">
        <v>785</v>
      </c>
      <c r="E16" s="33" t="s">
        <v>787</v>
      </c>
      <c r="F16" s="13" t="s">
        <v>788</v>
      </c>
      <c r="G16" s="29"/>
      <c r="I16" s="29"/>
    </row>
    <row r="17">
      <c r="A17" s="9">
        <v>46044.0</v>
      </c>
      <c r="B17" s="15">
        <v>0.71875</v>
      </c>
      <c r="C17" s="8">
        <v>4.0</v>
      </c>
      <c r="D17" s="29" t="s">
        <v>790</v>
      </c>
      <c r="E17" s="32" t="s">
        <v>792</v>
      </c>
      <c r="F17" s="13" t="s">
        <v>793</v>
      </c>
      <c r="G17" s="29"/>
      <c r="I17" s="29"/>
    </row>
    <row r="18">
      <c r="A18" s="9">
        <v>46044.0</v>
      </c>
      <c r="B18" s="15">
        <v>0.71875</v>
      </c>
      <c r="C18" s="8">
        <v>5.0</v>
      </c>
      <c r="D18" s="29" t="s">
        <v>1012</v>
      </c>
      <c r="E18" s="30" t="s">
        <v>797</v>
      </c>
      <c r="F18" s="13" t="s">
        <v>798</v>
      </c>
      <c r="G18" s="29"/>
      <c r="I18" s="29"/>
    </row>
    <row r="19">
      <c r="A19" s="9">
        <v>46044.0</v>
      </c>
      <c r="B19" s="15">
        <v>0.7395833333333334</v>
      </c>
      <c r="C19" s="8">
        <v>5.0</v>
      </c>
      <c r="D19" s="29" t="s">
        <v>800</v>
      </c>
      <c r="E19" s="30" t="s">
        <v>802</v>
      </c>
      <c r="F19" s="13" t="s">
        <v>803</v>
      </c>
      <c r="G19" s="29"/>
      <c r="I19" s="29"/>
    </row>
    <row r="20">
      <c r="A20" s="9">
        <v>46044.0</v>
      </c>
      <c r="B20" s="15">
        <v>0.75</v>
      </c>
      <c r="C20" s="8">
        <v>5.0</v>
      </c>
      <c r="D20" s="29" t="s">
        <v>805</v>
      </c>
      <c r="E20" s="30" t="s">
        <v>802</v>
      </c>
      <c r="F20" s="13" t="s">
        <v>807</v>
      </c>
      <c r="G20" s="29"/>
      <c r="I20" s="29"/>
    </row>
    <row r="21">
      <c r="A21" s="9">
        <v>46044.0</v>
      </c>
      <c r="B21" s="15">
        <v>0.7604166666666666</v>
      </c>
      <c r="C21" s="8">
        <v>5.0</v>
      </c>
      <c r="D21" s="29" t="s">
        <v>1013</v>
      </c>
      <c r="E21" s="30" t="s">
        <v>811</v>
      </c>
      <c r="F21" s="13" t="s">
        <v>812</v>
      </c>
      <c r="G21" s="29"/>
      <c r="I21" s="29"/>
    </row>
    <row r="22">
      <c r="A22" s="9">
        <v>46044.0</v>
      </c>
      <c r="B22" s="15">
        <v>0.7708333333333334</v>
      </c>
      <c r="C22" s="8">
        <v>5.0</v>
      </c>
      <c r="D22" s="29" t="s">
        <v>814</v>
      </c>
      <c r="E22" s="32" t="s">
        <v>816</v>
      </c>
      <c r="F22" s="13" t="s">
        <v>817</v>
      </c>
      <c r="G22" s="29"/>
      <c r="I22" s="29"/>
    </row>
    <row r="23">
      <c r="A23" s="9">
        <v>46044.0</v>
      </c>
      <c r="B23" s="15">
        <v>0.4479166666666667</v>
      </c>
      <c r="C23" s="8">
        <v>6.0</v>
      </c>
      <c r="D23" s="29" t="s">
        <v>819</v>
      </c>
      <c r="E23" s="32" t="s">
        <v>821</v>
      </c>
      <c r="F23" s="13" t="s">
        <v>822</v>
      </c>
      <c r="G23" s="29"/>
      <c r="I23" s="29"/>
    </row>
    <row r="24">
      <c r="A24" s="9">
        <v>46044.0</v>
      </c>
      <c r="B24" s="15">
        <v>0.4583333333333333</v>
      </c>
      <c r="C24" s="8">
        <v>6.0</v>
      </c>
      <c r="D24" s="29" t="s">
        <v>824</v>
      </c>
      <c r="E24" s="32" t="s">
        <v>816</v>
      </c>
      <c r="F24" s="13" t="s">
        <v>826</v>
      </c>
      <c r="G24" s="29"/>
      <c r="I24" s="29"/>
    </row>
    <row r="25">
      <c r="A25" s="9">
        <v>46044.0</v>
      </c>
      <c r="B25" s="15">
        <v>0.46875</v>
      </c>
      <c r="C25" s="8">
        <v>6.0</v>
      </c>
      <c r="D25" s="29" t="s">
        <v>1014</v>
      </c>
      <c r="E25" s="32" t="s">
        <v>816</v>
      </c>
      <c r="F25" s="13" t="s">
        <v>830</v>
      </c>
      <c r="G25" s="29"/>
      <c r="I25" s="29"/>
    </row>
    <row r="26">
      <c r="A26" s="9">
        <v>46044.0</v>
      </c>
      <c r="B26" s="15">
        <v>0.4791666666666667</v>
      </c>
      <c r="C26" s="8">
        <v>6.0</v>
      </c>
      <c r="D26" s="29" t="s">
        <v>832</v>
      </c>
      <c r="E26" s="32" t="s">
        <v>816</v>
      </c>
      <c r="F26" s="13" t="s">
        <v>834</v>
      </c>
      <c r="G26" s="29"/>
      <c r="I26" s="29"/>
    </row>
    <row r="27">
      <c r="A27" s="9">
        <v>46044.0</v>
      </c>
      <c r="B27" s="15">
        <v>0.4895833333333333</v>
      </c>
      <c r="C27" s="8">
        <v>6.0</v>
      </c>
      <c r="D27" s="29" t="s">
        <v>836</v>
      </c>
      <c r="E27" s="32" t="s">
        <v>120</v>
      </c>
      <c r="F27" s="13" t="s">
        <v>838</v>
      </c>
      <c r="G27" s="29"/>
      <c r="I27" s="29"/>
    </row>
    <row r="28">
      <c r="A28" s="9">
        <v>46044.0</v>
      </c>
      <c r="B28" s="15">
        <v>0.5</v>
      </c>
      <c r="C28" s="8">
        <v>6.0</v>
      </c>
      <c r="D28" s="29" t="s">
        <v>840</v>
      </c>
      <c r="E28" s="32" t="s">
        <v>816</v>
      </c>
      <c r="F28" s="13" t="s">
        <v>842</v>
      </c>
      <c r="G28" s="29"/>
      <c r="I28" s="29"/>
    </row>
    <row r="29">
      <c r="A29" s="9">
        <v>46044.0</v>
      </c>
      <c r="B29" s="15">
        <v>0.5104166666666666</v>
      </c>
      <c r="C29" s="8">
        <v>6.0</v>
      </c>
      <c r="D29" s="29" t="s">
        <v>1015</v>
      </c>
      <c r="E29" s="32" t="s">
        <v>846</v>
      </c>
      <c r="F29" s="13" t="s">
        <v>847</v>
      </c>
      <c r="G29" s="29"/>
      <c r="I29" s="29"/>
    </row>
    <row r="30">
      <c r="A30" s="9">
        <v>46044.0</v>
      </c>
      <c r="B30" s="15">
        <v>0.5208333333333334</v>
      </c>
      <c r="C30" s="8">
        <v>6.0</v>
      </c>
      <c r="D30" s="29" t="s">
        <v>849</v>
      </c>
      <c r="E30" s="7" t="s">
        <v>851</v>
      </c>
      <c r="F30" s="13" t="s">
        <v>852</v>
      </c>
      <c r="G30" s="29"/>
      <c r="I30" s="29"/>
    </row>
    <row r="31">
      <c r="A31" s="9">
        <v>46044.0</v>
      </c>
      <c r="B31" s="15">
        <v>0.5520833333333334</v>
      </c>
      <c r="C31" s="8">
        <v>6.0</v>
      </c>
      <c r="D31" s="29" t="s">
        <v>854</v>
      </c>
      <c r="E31" s="34" t="s">
        <v>856</v>
      </c>
      <c r="F31" s="13" t="s">
        <v>857</v>
      </c>
      <c r="G31" s="29"/>
      <c r="I31" s="29"/>
    </row>
    <row r="32">
      <c r="A32" s="9">
        <v>46044.0</v>
      </c>
      <c r="B32" s="15">
        <v>0.5625</v>
      </c>
      <c r="C32" s="8">
        <v>6.0</v>
      </c>
      <c r="D32" s="29" t="s">
        <v>859</v>
      </c>
      <c r="E32" s="30" t="s">
        <v>861</v>
      </c>
      <c r="F32" s="13" t="s">
        <v>862</v>
      </c>
      <c r="G32" s="29"/>
      <c r="I32" s="29"/>
    </row>
    <row r="33">
      <c r="A33" s="9">
        <v>46044.0</v>
      </c>
      <c r="B33" s="15">
        <v>0.5729166666666666</v>
      </c>
      <c r="C33" s="8">
        <v>6.0</v>
      </c>
      <c r="D33" s="29" t="s">
        <v>864</v>
      </c>
      <c r="E33" s="30" t="s">
        <v>866</v>
      </c>
      <c r="F33" s="13" t="s">
        <v>867</v>
      </c>
      <c r="G33" s="29"/>
      <c r="I33" s="29"/>
    </row>
    <row r="34">
      <c r="A34" s="9">
        <v>46044.0</v>
      </c>
      <c r="B34" s="15">
        <v>0.5833333333333334</v>
      </c>
      <c r="C34" s="8">
        <v>6.0</v>
      </c>
      <c r="D34" s="29" t="s">
        <v>1016</v>
      </c>
      <c r="E34" s="30" t="s">
        <v>725</v>
      </c>
      <c r="F34" s="13" t="s">
        <v>871</v>
      </c>
      <c r="G34" s="29"/>
      <c r="I34" s="29"/>
    </row>
    <row r="35">
      <c r="A35" s="9">
        <v>46044.0</v>
      </c>
      <c r="B35" s="15">
        <v>0.59375</v>
      </c>
      <c r="C35" s="8">
        <v>6.0</v>
      </c>
      <c r="D35" s="29" t="s">
        <v>873</v>
      </c>
      <c r="E35" s="30" t="s">
        <v>725</v>
      </c>
      <c r="F35" s="13" t="s">
        <v>875</v>
      </c>
      <c r="G35" s="29"/>
      <c r="I35" s="29"/>
    </row>
    <row r="36">
      <c r="A36" s="9">
        <v>46044.0</v>
      </c>
      <c r="B36" s="15">
        <v>0.6041666666666666</v>
      </c>
      <c r="C36" s="8">
        <v>6.0</v>
      </c>
      <c r="D36" s="29" t="s">
        <v>877</v>
      </c>
      <c r="E36" s="30" t="s">
        <v>879</v>
      </c>
      <c r="F36" s="13" t="s">
        <v>880</v>
      </c>
      <c r="G36" s="29"/>
      <c r="I36" s="29"/>
    </row>
    <row r="37">
      <c r="A37" s="9">
        <v>46044.0</v>
      </c>
      <c r="B37" s="15">
        <v>0.6145833333333334</v>
      </c>
      <c r="C37" s="8">
        <v>6.0</v>
      </c>
      <c r="D37" s="29" t="s">
        <v>882</v>
      </c>
      <c r="E37" s="30" t="s">
        <v>884</v>
      </c>
      <c r="F37" s="13" t="s">
        <v>885</v>
      </c>
      <c r="G37" s="29"/>
      <c r="I37" s="29"/>
    </row>
    <row r="38">
      <c r="A38" s="9">
        <v>46044.0</v>
      </c>
      <c r="B38" s="15">
        <v>0.625</v>
      </c>
      <c r="C38" s="8">
        <v>6.0</v>
      </c>
      <c r="D38" s="29" t="s">
        <v>887</v>
      </c>
      <c r="E38" s="30" t="s">
        <v>120</v>
      </c>
      <c r="F38" s="13" t="s">
        <v>889</v>
      </c>
      <c r="G38" s="29"/>
      <c r="I38" s="29"/>
    </row>
    <row r="39">
      <c r="A39" s="9">
        <v>46044.0</v>
      </c>
      <c r="B39" s="15">
        <v>0.6354166666666666</v>
      </c>
      <c r="C39" s="8">
        <v>6.0</v>
      </c>
      <c r="D39" s="29" t="s">
        <v>891</v>
      </c>
      <c r="E39" s="30" t="s">
        <v>893</v>
      </c>
      <c r="F39" s="13" t="s">
        <v>894</v>
      </c>
      <c r="G39" s="29"/>
      <c r="I39" s="29"/>
    </row>
    <row r="40">
      <c r="A40" s="9">
        <v>46044.0</v>
      </c>
      <c r="B40" s="15">
        <v>0.6458333333333334</v>
      </c>
      <c r="C40" s="8">
        <v>6.0</v>
      </c>
      <c r="D40" s="29" t="s">
        <v>1017</v>
      </c>
      <c r="E40" s="30" t="s">
        <v>898</v>
      </c>
      <c r="F40" s="13" t="s">
        <v>899</v>
      </c>
      <c r="G40" s="29"/>
      <c r="I40" s="29"/>
    </row>
    <row r="41">
      <c r="A41" s="9">
        <v>46044.0</v>
      </c>
      <c r="B41" s="15">
        <v>0.65625</v>
      </c>
      <c r="C41" s="8">
        <v>6.0</v>
      </c>
      <c r="D41" s="29" t="s">
        <v>901</v>
      </c>
      <c r="E41" s="35" t="s">
        <v>903</v>
      </c>
      <c r="F41" s="13" t="s">
        <v>904</v>
      </c>
      <c r="G41" s="29"/>
      <c r="I41" s="29"/>
    </row>
    <row r="42">
      <c r="A42" s="9">
        <v>46044.0</v>
      </c>
      <c r="B42" s="15">
        <v>0.6770833333333334</v>
      </c>
      <c r="C42" s="8">
        <v>6.0</v>
      </c>
      <c r="D42" s="29" t="s">
        <v>1018</v>
      </c>
      <c r="E42" s="30" t="s">
        <v>908</v>
      </c>
      <c r="F42" s="13" t="s">
        <v>909</v>
      </c>
      <c r="G42" s="29"/>
      <c r="I42" s="29"/>
    </row>
    <row r="43">
      <c r="A43" s="9">
        <v>46044.0</v>
      </c>
      <c r="B43" s="15">
        <v>0.6875</v>
      </c>
      <c r="C43" s="8">
        <v>6.0</v>
      </c>
      <c r="D43" s="29" t="s">
        <v>911</v>
      </c>
      <c r="E43" s="30" t="s">
        <v>913</v>
      </c>
      <c r="F43" s="13" t="s">
        <v>914</v>
      </c>
      <c r="G43" s="29"/>
      <c r="I43" s="29"/>
    </row>
    <row r="44">
      <c r="A44" s="9">
        <v>46044.0</v>
      </c>
      <c r="B44" s="15">
        <v>0.6979166666666666</v>
      </c>
      <c r="C44" s="8">
        <v>6.0</v>
      </c>
      <c r="D44" s="29" t="s">
        <v>916</v>
      </c>
      <c r="E44" s="30" t="s">
        <v>918</v>
      </c>
      <c r="F44" s="13" t="s">
        <v>919</v>
      </c>
      <c r="G44" s="29"/>
      <c r="I44" s="29"/>
    </row>
    <row r="45">
      <c r="A45" s="9">
        <v>46044.0</v>
      </c>
      <c r="B45" s="15">
        <v>0.7083333333333334</v>
      </c>
      <c r="C45" s="8">
        <v>6.0</v>
      </c>
      <c r="D45" s="29" t="s">
        <v>921</v>
      </c>
      <c r="E45" s="30" t="s">
        <v>918</v>
      </c>
      <c r="F45" s="13" t="s">
        <v>923</v>
      </c>
      <c r="G45" s="29"/>
      <c r="I45" s="29"/>
    </row>
    <row r="46">
      <c r="A46" s="9">
        <v>46044.0</v>
      </c>
      <c r="B46" s="15">
        <v>0.71875</v>
      </c>
      <c r="C46" s="8">
        <v>6.0</v>
      </c>
      <c r="D46" s="29" t="s">
        <v>925</v>
      </c>
      <c r="E46" s="36" t="s">
        <v>927</v>
      </c>
      <c r="F46" s="13" t="s">
        <v>928</v>
      </c>
      <c r="G46" s="29"/>
      <c r="I46" s="29"/>
    </row>
    <row r="47">
      <c r="A47" s="9">
        <v>46044.0</v>
      </c>
      <c r="B47" s="15">
        <v>0.7291666666666666</v>
      </c>
      <c r="C47" s="8">
        <v>6.0</v>
      </c>
      <c r="D47" s="29" t="s">
        <v>930</v>
      </c>
      <c r="E47" s="30" t="s">
        <v>932</v>
      </c>
      <c r="F47" s="13" t="s">
        <v>933</v>
      </c>
      <c r="G47" s="29"/>
      <c r="I47" s="29"/>
    </row>
    <row r="48">
      <c r="A48" s="9">
        <v>46044.0</v>
      </c>
      <c r="B48" s="15">
        <v>0.7395833333333334</v>
      </c>
      <c r="C48" s="8">
        <v>6.0</v>
      </c>
      <c r="D48" s="29" t="s">
        <v>935</v>
      </c>
      <c r="E48" s="33" t="s">
        <v>937</v>
      </c>
      <c r="F48" s="13" t="s">
        <v>938</v>
      </c>
      <c r="G48" s="29"/>
      <c r="I48" s="29"/>
    </row>
    <row r="49">
      <c r="A49" s="9">
        <v>46044.0</v>
      </c>
      <c r="B49" s="15">
        <v>0.75</v>
      </c>
      <c r="C49" s="8">
        <v>6.0</v>
      </c>
      <c r="D49" s="29" t="s">
        <v>1019</v>
      </c>
      <c r="E49" s="30" t="s">
        <v>942</v>
      </c>
      <c r="F49" s="13" t="s">
        <v>943</v>
      </c>
      <c r="G49" s="29"/>
      <c r="I49" s="29"/>
    </row>
    <row r="50">
      <c r="A50" s="9">
        <v>46044.0</v>
      </c>
      <c r="B50" s="15">
        <v>0.7604166666666666</v>
      </c>
      <c r="C50" s="8">
        <v>6.0</v>
      </c>
      <c r="D50" s="29" t="s">
        <v>945</v>
      </c>
      <c r="E50" s="33" t="s">
        <v>856</v>
      </c>
      <c r="F50" s="13" t="s">
        <v>947</v>
      </c>
      <c r="G50" s="29"/>
      <c r="I50" s="29"/>
    </row>
    <row r="51">
      <c r="A51" s="9">
        <v>46044.0</v>
      </c>
      <c r="B51" s="15">
        <v>0.7708333333333334</v>
      </c>
      <c r="C51" s="8">
        <v>6.0</v>
      </c>
      <c r="D51" s="29" t="s">
        <v>949</v>
      </c>
      <c r="E51" s="36" t="s">
        <v>951</v>
      </c>
      <c r="F51" s="13" t="s">
        <v>952</v>
      </c>
      <c r="G51" s="29"/>
      <c r="I51" s="29"/>
    </row>
    <row r="52">
      <c r="A52" s="9">
        <v>46044.0</v>
      </c>
      <c r="B52" s="15">
        <v>0.8020833333333334</v>
      </c>
      <c r="C52" s="8">
        <v>6.0</v>
      </c>
      <c r="D52" s="29" t="s">
        <v>954</v>
      </c>
      <c r="E52" s="7" t="s">
        <v>612</v>
      </c>
      <c r="F52" s="13" t="s">
        <v>956</v>
      </c>
      <c r="G52" s="29"/>
      <c r="I52" s="29"/>
    </row>
    <row r="53">
      <c r="A53" s="9">
        <v>46044.0</v>
      </c>
      <c r="B53" s="15">
        <v>0.6979166666666666</v>
      </c>
      <c r="C53" s="8">
        <v>1.0</v>
      </c>
      <c r="D53" s="29" t="s">
        <v>958</v>
      </c>
      <c r="E53" s="37" t="s">
        <v>951</v>
      </c>
      <c r="F53" s="13" t="s">
        <v>960</v>
      </c>
      <c r="G53" s="29"/>
      <c r="I53" s="29"/>
    </row>
    <row r="54">
      <c r="A54" s="9">
        <v>46045.0</v>
      </c>
      <c r="B54" s="15">
        <v>0.7083333333333334</v>
      </c>
      <c r="C54" s="8">
        <v>1.0</v>
      </c>
      <c r="D54" s="29" t="s">
        <v>1020</v>
      </c>
      <c r="E54" s="32" t="s">
        <v>964</v>
      </c>
      <c r="F54" s="13" t="s">
        <v>965</v>
      </c>
      <c r="G54" s="29"/>
      <c r="I54" s="29"/>
    </row>
    <row r="55">
      <c r="A55" s="9">
        <v>46045.0</v>
      </c>
      <c r="B55" s="15">
        <v>0.71875</v>
      </c>
      <c r="C55" s="8">
        <v>1.0</v>
      </c>
      <c r="D55" s="29" t="s">
        <v>1021</v>
      </c>
      <c r="E55" s="7" t="s">
        <v>725</v>
      </c>
      <c r="F55" s="13" t="s">
        <v>969</v>
      </c>
      <c r="G55" s="29"/>
      <c r="I55" s="29"/>
    </row>
    <row r="56">
      <c r="A56" s="9">
        <v>46045.0</v>
      </c>
      <c r="B56" s="15">
        <v>0.6770833333333334</v>
      </c>
      <c r="C56" s="8">
        <v>3.0</v>
      </c>
      <c r="D56" s="29" t="s">
        <v>971</v>
      </c>
      <c r="E56" s="32" t="s">
        <v>973</v>
      </c>
      <c r="F56" s="13" t="s">
        <v>974</v>
      </c>
      <c r="G56" s="29"/>
      <c r="I56" s="29"/>
    </row>
    <row r="57">
      <c r="A57" s="9">
        <v>46045.0</v>
      </c>
      <c r="B57" s="15">
        <v>0.71875</v>
      </c>
      <c r="C57" s="8">
        <v>3.0</v>
      </c>
      <c r="D57" s="29" t="s">
        <v>1022</v>
      </c>
      <c r="E57" s="7" t="s">
        <v>978</v>
      </c>
      <c r="F57" s="13" t="s">
        <v>979</v>
      </c>
      <c r="G57" s="29"/>
      <c r="I57" s="29"/>
    </row>
    <row r="58">
      <c r="A58" s="9">
        <v>46045.0</v>
      </c>
      <c r="B58" s="15">
        <v>0.7395833333333334</v>
      </c>
      <c r="C58" s="8">
        <v>3.0</v>
      </c>
      <c r="D58" s="29" t="s">
        <v>697</v>
      </c>
      <c r="E58" s="32" t="s">
        <v>942</v>
      </c>
      <c r="F58" s="13" t="s">
        <v>981</v>
      </c>
      <c r="G58" s="29"/>
      <c r="I58" s="29"/>
    </row>
    <row r="59">
      <c r="A59" s="9">
        <v>46045.0</v>
      </c>
      <c r="B59" s="15">
        <v>0.6458333333333334</v>
      </c>
      <c r="C59" s="8">
        <v>4.0</v>
      </c>
      <c r="D59" s="29" t="s">
        <v>1023</v>
      </c>
      <c r="E59" s="37" t="s">
        <v>985</v>
      </c>
      <c r="F59" s="13" t="s">
        <v>986</v>
      </c>
      <c r="G59" s="29"/>
      <c r="I59" s="29"/>
    </row>
    <row r="60">
      <c r="A60" s="9">
        <v>46045.0</v>
      </c>
      <c r="B60" s="15">
        <v>0.6875</v>
      </c>
      <c r="C60" s="8">
        <v>4.0</v>
      </c>
      <c r="D60" s="29" t="s">
        <v>988</v>
      </c>
      <c r="E60" s="32" t="s">
        <v>739</v>
      </c>
      <c r="F60" s="13" t="s">
        <v>990</v>
      </c>
      <c r="G60" s="29"/>
      <c r="I60" s="29"/>
    </row>
    <row r="61">
      <c r="A61" s="9">
        <v>46045.0</v>
      </c>
      <c r="B61" s="15">
        <v>0.6979166666666666</v>
      </c>
      <c r="C61" s="8">
        <v>4.0</v>
      </c>
      <c r="D61" s="29" t="s">
        <v>992</v>
      </c>
      <c r="E61" s="7" t="s">
        <v>816</v>
      </c>
      <c r="F61" s="13" t="s">
        <v>994</v>
      </c>
      <c r="G61" s="29"/>
      <c r="I61" s="29"/>
    </row>
    <row r="62">
      <c r="A62" s="9">
        <v>46045.0</v>
      </c>
      <c r="B62" s="15">
        <v>0.71875</v>
      </c>
      <c r="C62" s="8">
        <v>4.0</v>
      </c>
      <c r="D62" s="29" t="s">
        <v>996</v>
      </c>
      <c r="E62" s="7" t="s">
        <v>998</v>
      </c>
      <c r="F62" s="13" t="s">
        <v>999</v>
      </c>
      <c r="G62" s="29"/>
      <c r="I62" s="29"/>
    </row>
    <row r="63">
      <c r="A63" s="9">
        <v>46045.0</v>
      </c>
      <c r="B63" s="15">
        <v>0.75</v>
      </c>
      <c r="C63" s="8">
        <v>4.0</v>
      </c>
      <c r="D63" s="29" t="s">
        <v>1024</v>
      </c>
      <c r="E63" s="29" t="s">
        <v>1003</v>
      </c>
      <c r="F63" s="13" t="s">
        <v>1004</v>
      </c>
      <c r="G63" s="29"/>
      <c r="I63" s="29"/>
    </row>
    <row r="64">
      <c r="A64" s="25"/>
      <c r="B64" s="26"/>
      <c r="C64" s="29"/>
      <c r="D64" s="29"/>
      <c r="E64" s="29"/>
      <c r="F64" s="29"/>
      <c r="G64" s="29"/>
      <c r="I64" s="29"/>
    </row>
    <row r="65">
      <c r="A65" s="25"/>
      <c r="B65" s="26"/>
      <c r="C65" s="29"/>
      <c r="D65" s="29"/>
      <c r="E65" s="29"/>
      <c r="F65" s="29"/>
      <c r="G65" s="29"/>
      <c r="I65" s="29"/>
    </row>
    <row r="66">
      <c r="A66" s="25"/>
      <c r="B66" s="26"/>
      <c r="C66" s="29"/>
      <c r="D66" s="29"/>
      <c r="E66" s="29"/>
      <c r="F66" s="29"/>
      <c r="G66" s="29"/>
      <c r="I66" s="29"/>
    </row>
    <row r="67">
      <c r="A67" s="25"/>
      <c r="B67" s="26"/>
      <c r="C67" s="29"/>
      <c r="D67" s="29"/>
      <c r="E67" s="29"/>
      <c r="F67" s="29"/>
      <c r="G67" s="29"/>
      <c r="I67" s="29"/>
    </row>
    <row r="68">
      <c r="A68" s="25"/>
      <c r="B68" s="26"/>
      <c r="C68" s="29"/>
      <c r="D68" s="29"/>
      <c r="E68" s="29"/>
      <c r="F68" s="29"/>
      <c r="G68" s="29"/>
      <c r="I68" s="29"/>
    </row>
    <row r="69">
      <c r="A69" s="25"/>
      <c r="B69" s="26"/>
      <c r="C69" s="29"/>
      <c r="D69" s="29"/>
      <c r="E69" s="29"/>
      <c r="F69" s="29"/>
      <c r="G69" s="29"/>
      <c r="I69" s="29"/>
    </row>
    <row r="70">
      <c r="A70" s="25"/>
      <c r="B70" s="26"/>
      <c r="C70" s="29"/>
      <c r="D70" s="29"/>
      <c r="E70" s="29"/>
      <c r="F70" s="29"/>
      <c r="G70" s="29"/>
      <c r="I70" s="29"/>
    </row>
    <row r="71">
      <c r="A71" s="25"/>
      <c r="B71" s="26"/>
      <c r="C71" s="29"/>
      <c r="D71" s="29"/>
      <c r="E71" s="29"/>
      <c r="F71" s="29"/>
      <c r="G71" s="29"/>
      <c r="I71" s="29"/>
    </row>
    <row r="72">
      <c r="A72" s="25"/>
      <c r="B72" s="26"/>
      <c r="C72" s="29"/>
      <c r="D72" s="29"/>
      <c r="E72" s="29"/>
      <c r="F72" s="29"/>
      <c r="G72" s="29"/>
      <c r="I72" s="29"/>
    </row>
    <row r="73">
      <c r="A73" s="25"/>
      <c r="B73" s="26"/>
      <c r="C73" s="29"/>
      <c r="D73" s="29"/>
      <c r="E73" s="29"/>
      <c r="F73" s="29"/>
      <c r="G73" s="29"/>
      <c r="I73" s="29"/>
    </row>
    <row r="74">
      <c r="A74" s="25"/>
      <c r="B74" s="26"/>
      <c r="C74" s="29"/>
      <c r="D74" s="29"/>
      <c r="E74" s="29"/>
      <c r="F74" s="29"/>
      <c r="G74" s="29"/>
      <c r="I74" s="29"/>
    </row>
    <row r="75">
      <c r="A75" s="25"/>
      <c r="B75" s="26"/>
      <c r="C75" s="29"/>
      <c r="D75" s="29"/>
      <c r="E75" s="29"/>
      <c r="F75" s="29"/>
      <c r="G75" s="29"/>
      <c r="I75" s="29"/>
    </row>
    <row r="76">
      <c r="A76" s="25"/>
      <c r="B76" s="26"/>
      <c r="C76" s="29"/>
      <c r="D76" s="29"/>
      <c r="E76" s="29"/>
      <c r="F76" s="29"/>
      <c r="G76" s="29"/>
      <c r="I76" s="29"/>
    </row>
    <row r="77">
      <c r="A77" s="25"/>
      <c r="B77" s="26"/>
      <c r="C77" s="29"/>
      <c r="D77" s="29"/>
      <c r="E77" s="29"/>
      <c r="F77" s="29"/>
      <c r="G77" s="29"/>
      <c r="I77" s="29"/>
    </row>
    <row r="78">
      <c r="A78" s="25"/>
      <c r="B78" s="26"/>
      <c r="C78" s="29"/>
      <c r="D78" s="29"/>
      <c r="E78" s="29"/>
      <c r="F78" s="29"/>
      <c r="G78" s="29"/>
      <c r="I78" s="29"/>
    </row>
    <row r="79">
      <c r="A79" s="25"/>
      <c r="B79" s="26"/>
      <c r="C79" s="29"/>
      <c r="D79" s="29"/>
      <c r="E79" s="29"/>
      <c r="F79" s="29"/>
      <c r="G79" s="29"/>
      <c r="I79" s="29"/>
    </row>
    <row r="80">
      <c r="A80" s="25"/>
      <c r="B80" s="26"/>
      <c r="C80" s="29"/>
      <c r="D80" s="29"/>
      <c r="E80" s="29"/>
      <c r="F80" s="29"/>
      <c r="G80" s="29"/>
      <c r="I80" s="29"/>
    </row>
    <row r="81">
      <c r="A81" s="25"/>
      <c r="B81" s="26"/>
      <c r="C81" s="29"/>
      <c r="D81" s="29"/>
      <c r="E81" s="29"/>
      <c r="F81" s="29"/>
      <c r="G81" s="29"/>
      <c r="I81" s="29"/>
    </row>
    <row r="82">
      <c r="A82" s="25"/>
      <c r="B82" s="26"/>
      <c r="C82" s="29"/>
      <c r="D82" s="29"/>
      <c r="E82" s="29"/>
      <c r="F82" s="29"/>
      <c r="G82" s="29"/>
      <c r="I82" s="29"/>
    </row>
    <row r="83">
      <c r="A83" s="25"/>
      <c r="B83" s="26"/>
      <c r="C83" s="29"/>
      <c r="D83" s="29"/>
      <c r="E83" s="29"/>
      <c r="F83" s="29"/>
      <c r="G83" s="29"/>
      <c r="I83" s="29"/>
    </row>
    <row r="84">
      <c r="A84" s="25"/>
      <c r="B84" s="26"/>
      <c r="C84" s="29"/>
      <c r="D84" s="29"/>
      <c r="E84" s="29"/>
      <c r="F84" s="29"/>
      <c r="G84" s="29"/>
      <c r="I84" s="29"/>
    </row>
    <row r="85">
      <c r="A85" s="25"/>
      <c r="B85" s="26"/>
      <c r="C85" s="29"/>
      <c r="D85" s="29"/>
      <c r="E85" s="29"/>
      <c r="F85" s="29"/>
      <c r="G85" s="29"/>
      <c r="I85" s="29"/>
    </row>
    <row r="86">
      <c r="A86" s="25"/>
      <c r="B86" s="26"/>
      <c r="C86" s="29"/>
      <c r="D86" s="29"/>
      <c r="E86" s="29"/>
      <c r="F86" s="29"/>
      <c r="G86" s="29"/>
      <c r="I86" s="29"/>
    </row>
    <row r="87">
      <c r="A87" s="25"/>
      <c r="B87" s="26"/>
      <c r="C87" s="29"/>
      <c r="D87" s="29"/>
      <c r="E87" s="29"/>
      <c r="F87" s="29"/>
      <c r="G87" s="29"/>
      <c r="I87" s="29"/>
    </row>
    <row r="88">
      <c r="A88" s="25"/>
      <c r="B88" s="26"/>
      <c r="C88" s="29"/>
      <c r="D88" s="29"/>
      <c r="E88" s="29"/>
      <c r="F88" s="29"/>
      <c r="G88" s="29"/>
      <c r="I88" s="29"/>
    </row>
    <row r="89">
      <c r="A89" s="25"/>
      <c r="B89" s="26"/>
      <c r="C89" s="29"/>
      <c r="D89" s="29"/>
      <c r="E89" s="29"/>
      <c r="F89" s="29"/>
      <c r="G89" s="29"/>
      <c r="I89" s="29"/>
    </row>
    <row r="90">
      <c r="A90" s="25"/>
      <c r="B90" s="26"/>
      <c r="C90" s="29"/>
      <c r="D90" s="29"/>
      <c r="E90" s="29"/>
      <c r="F90" s="29"/>
      <c r="G90" s="29"/>
      <c r="I90" s="29"/>
    </row>
    <row r="91">
      <c r="A91" s="25"/>
      <c r="B91" s="26"/>
      <c r="C91" s="29"/>
      <c r="D91" s="29"/>
      <c r="E91" s="29"/>
      <c r="F91" s="29"/>
      <c r="G91" s="29"/>
      <c r="I91" s="29"/>
    </row>
    <row r="92">
      <c r="A92" s="25"/>
      <c r="B92" s="26"/>
      <c r="C92" s="29"/>
      <c r="D92" s="29"/>
      <c r="E92" s="29"/>
      <c r="F92" s="29"/>
      <c r="G92" s="29"/>
      <c r="I92" s="29"/>
    </row>
    <row r="93">
      <c r="A93" s="25"/>
      <c r="B93" s="26"/>
      <c r="C93" s="29"/>
      <c r="D93" s="29"/>
      <c r="E93" s="29"/>
      <c r="F93" s="29"/>
      <c r="G93" s="29"/>
      <c r="I93" s="29"/>
    </row>
    <row r="94">
      <c r="A94" s="25"/>
      <c r="B94" s="26"/>
      <c r="C94" s="29"/>
      <c r="D94" s="29"/>
      <c r="E94" s="29"/>
      <c r="F94" s="29"/>
      <c r="G94" s="29"/>
      <c r="I94" s="29"/>
    </row>
    <row r="95">
      <c r="A95" s="25"/>
      <c r="B95" s="26"/>
      <c r="C95" s="29"/>
      <c r="D95" s="29"/>
      <c r="E95" s="29"/>
      <c r="F95" s="29"/>
      <c r="G95" s="29"/>
      <c r="I95" s="29"/>
    </row>
    <row r="96">
      <c r="A96" s="25"/>
      <c r="B96" s="26"/>
      <c r="C96" s="29"/>
      <c r="D96" s="29"/>
      <c r="E96" s="29"/>
      <c r="F96" s="29"/>
      <c r="G96" s="29"/>
      <c r="I96" s="29"/>
    </row>
    <row r="97">
      <c r="A97" s="25"/>
      <c r="B97" s="26"/>
      <c r="C97" s="29"/>
      <c r="D97" s="29"/>
      <c r="E97" s="29"/>
      <c r="F97" s="29"/>
      <c r="G97" s="29"/>
      <c r="I97" s="29"/>
    </row>
    <row r="98">
      <c r="A98" s="25"/>
      <c r="B98" s="26"/>
      <c r="C98" s="29"/>
      <c r="D98" s="29"/>
      <c r="E98" s="29"/>
      <c r="F98" s="29"/>
      <c r="G98" s="29"/>
      <c r="I98" s="29"/>
    </row>
    <row r="99">
      <c r="A99" s="25"/>
      <c r="B99" s="26"/>
      <c r="C99" s="29"/>
      <c r="D99" s="29"/>
      <c r="E99" s="29"/>
      <c r="F99" s="29"/>
      <c r="G99" s="29"/>
      <c r="I99" s="29"/>
    </row>
    <row r="100">
      <c r="A100" s="25"/>
      <c r="B100" s="26"/>
      <c r="C100" s="29"/>
      <c r="D100" s="29"/>
      <c r="E100" s="29"/>
      <c r="F100" s="29"/>
      <c r="G100" s="29"/>
      <c r="I100" s="29"/>
    </row>
    <row r="101">
      <c r="A101" s="25"/>
      <c r="B101" s="26"/>
      <c r="C101" s="29"/>
      <c r="D101" s="29"/>
      <c r="E101" s="29"/>
      <c r="F101" s="29"/>
      <c r="G101" s="29"/>
      <c r="I101" s="29"/>
    </row>
    <row r="102">
      <c r="A102" s="25"/>
      <c r="B102" s="26"/>
      <c r="C102" s="29"/>
      <c r="D102" s="29"/>
      <c r="E102" s="29"/>
      <c r="F102" s="29"/>
      <c r="G102" s="29"/>
      <c r="I102" s="29"/>
    </row>
    <row r="103">
      <c r="A103" s="25"/>
      <c r="B103" s="26"/>
      <c r="C103" s="29"/>
      <c r="D103" s="29"/>
      <c r="E103" s="29"/>
      <c r="F103" s="29"/>
      <c r="G103" s="29"/>
      <c r="I103" s="29"/>
    </row>
    <row r="104">
      <c r="A104" s="25"/>
      <c r="B104" s="26"/>
      <c r="C104" s="29"/>
      <c r="D104" s="29"/>
      <c r="E104" s="29"/>
      <c r="F104" s="29"/>
      <c r="G104" s="29"/>
      <c r="I104" s="29"/>
    </row>
    <row r="105">
      <c r="A105" s="25"/>
      <c r="B105" s="26"/>
      <c r="C105" s="29"/>
      <c r="D105" s="29"/>
      <c r="E105" s="29"/>
      <c r="F105" s="29"/>
      <c r="G105" s="29"/>
      <c r="I105" s="29"/>
    </row>
    <row r="106">
      <c r="A106" s="25"/>
      <c r="B106" s="26"/>
      <c r="C106" s="29"/>
      <c r="D106" s="29"/>
      <c r="E106" s="29"/>
      <c r="F106" s="29"/>
      <c r="G106" s="29"/>
      <c r="I106" s="29"/>
    </row>
    <row r="107">
      <c r="A107" s="25"/>
      <c r="B107" s="26"/>
      <c r="C107" s="29"/>
      <c r="D107" s="29"/>
      <c r="E107" s="29"/>
      <c r="F107" s="29"/>
      <c r="G107" s="29"/>
      <c r="I107" s="29"/>
    </row>
    <row r="108">
      <c r="A108" s="25"/>
      <c r="B108" s="26"/>
      <c r="C108" s="29"/>
      <c r="D108" s="29"/>
      <c r="E108" s="29"/>
      <c r="F108" s="29"/>
      <c r="G108" s="29"/>
      <c r="I108" s="29"/>
    </row>
    <row r="109">
      <c r="A109" s="25"/>
      <c r="B109" s="26"/>
      <c r="C109" s="29"/>
      <c r="D109" s="29"/>
      <c r="E109" s="29"/>
      <c r="F109" s="29"/>
      <c r="G109" s="29"/>
      <c r="I109" s="29"/>
    </row>
    <row r="110">
      <c r="A110" s="25"/>
      <c r="B110" s="26"/>
      <c r="C110" s="29"/>
      <c r="D110" s="29"/>
      <c r="E110" s="29"/>
      <c r="F110" s="29"/>
      <c r="G110" s="29"/>
      <c r="I110" s="29"/>
    </row>
    <row r="111">
      <c r="A111" s="25"/>
      <c r="B111" s="26"/>
      <c r="C111" s="29"/>
      <c r="D111" s="29"/>
      <c r="E111" s="29"/>
      <c r="F111" s="29"/>
      <c r="G111" s="29"/>
      <c r="I111" s="29"/>
    </row>
    <row r="112">
      <c r="A112" s="25"/>
      <c r="B112" s="26"/>
      <c r="C112" s="29"/>
      <c r="D112" s="29"/>
      <c r="E112" s="29"/>
      <c r="F112" s="29"/>
      <c r="G112" s="29"/>
      <c r="I112" s="29"/>
    </row>
    <row r="113">
      <c r="A113" s="25"/>
      <c r="B113" s="26"/>
      <c r="C113" s="29"/>
      <c r="D113" s="29"/>
      <c r="E113" s="29"/>
      <c r="F113" s="29"/>
      <c r="G113" s="29"/>
      <c r="I113" s="29"/>
    </row>
    <row r="114">
      <c r="A114" s="25"/>
      <c r="B114" s="26"/>
      <c r="C114" s="29"/>
      <c r="D114" s="29"/>
      <c r="E114" s="29"/>
      <c r="F114" s="29"/>
      <c r="G114" s="29"/>
      <c r="I114" s="29"/>
    </row>
    <row r="115">
      <c r="A115" s="25"/>
      <c r="B115" s="26"/>
      <c r="C115" s="29"/>
      <c r="D115" s="29"/>
      <c r="E115" s="29"/>
      <c r="F115" s="29"/>
      <c r="G115" s="29"/>
      <c r="I115" s="29"/>
    </row>
    <row r="116">
      <c r="A116" s="25"/>
      <c r="B116" s="26"/>
      <c r="C116" s="29"/>
      <c r="D116" s="29"/>
      <c r="E116" s="29"/>
      <c r="F116" s="29"/>
      <c r="G116" s="29"/>
      <c r="I116" s="29"/>
    </row>
    <row r="117">
      <c r="A117" s="25"/>
      <c r="B117" s="26"/>
      <c r="C117" s="29"/>
      <c r="D117" s="29"/>
      <c r="E117" s="29"/>
      <c r="F117" s="29"/>
      <c r="G117" s="29"/>
      <c r="I117" s="29"/>
    </row>
    <row r="118">
      <c r="A118" s="25"/>
      <c r="B118" s="26"/>
      <c r="C118" s="29"/>
      <c r="D118" s="29"/>
      <c r="E118" s="29"/>
      <c r="F118" s="29"/>
      <c r="G118" s="29"/>
      <c r="I118" s="29"/>
    </row>
    <row r="119">
      <c r="A119" s="25"/>
      <c r="B119" s="26"/>
      <c r="C119" s="29"/>
      <c r="D119" s="29"/>
      <c r="E119" s="29"/>
      <c r="F119" s="29"/>
      <c r="G119" s="29"/>
      <c r="I119" s="29"/>
    </row>
    <row r="120">
      <c r="A120" s="25"/>
      <c r="B120" s="26"/>
      <c r="C120" s="29"/>
      <c r="D120" s="29"/>
      <c r="E120" s="29"/>
      <c r="F120" s="29"/>
      <c r="G120" s="29"/>
      <c r="I120" s="29"/>
    </row>
    <row r="121">
      <c r="A121" s="25"/>
      <c r="B121" s="26"/>
      <c r="C121" s="29"/>
      <c r="D121" s="29"/>
      <c r="E121" s="29"/>
      <c r="F121" s="29"/>
      <c r="G121" s="29"/>
      <c r="I121" s="29"/>
    </row>
    <row r="122">
      <c r="A122" s="25"/>
      <c r="B122" s="26"/>
      <c r="C122" s="29"/>
      <c r="D122" s="29"/>
      <c r="E122" s="29"/>
      <c r="F122" s="29"/>
      <c r="G122" s="29"/>
      <c r="I122" s="29"/>
    </row>
    <row r="123">
      <c r="A123" s="25"/>
      <c r="B123" s="26"/>
      <c r="C123" s="29"/>
      <c r="D123" s="29"/>
      <c r="E123" s="29"/>
      <c r="F123" s="29"/>
      <c r="G123" s="29"/>
      <c r="I123" s="29"/>
    </row>
    <row r="124">
      <c r="A124" s="25"/>
      <c r="B124" s="26"/>
      <c r="C124" s="29"/>
      <c r="D124" s="29"/>
      <c r="E124" s="29"/>
      <c r="F124" s="29"/>
      <c r="G124" s="29"/>
      <c r="I124" s="29"/>
    </row>
    <row r="125">
      <c r="A125" s="25"/>
      <c r="B125" s="26"/>
      <c r="C125" s="29"/>
      <c r="D125" s="29"/>
      <c r="E125" s="29"/>
      <c r="F125" s="29"/>
      <c r="G125" s="29"/>
      <c r="I125" s="29"/>
    </row>
    <row r="126">
      <c r="A126" s="25"/>
      <c r="B126" s="26"/>
      <c r="C126" s="29"/>
      <c r="D126" s="29"/>
      <c r="E126" s="29"/>
      <c r="F126" s="29"/>
      <c r="G126" s="29"/>
      <c r="I126" s="29"/>
    </row>
    <row r="127">
      <c r="A127" s="25"/>
      <c r="B127" s="26"/>
      <c r="C127" s="29"/>
      <c r="D127" s="29"/>
      <c r="E127" s="29"/>
      <c r="F127" s="29"/>
      <c r="G127" s="29"/>
      <c r="I127" s="29"/>
    </row>
    <row r="128">
      <c r="A128" s="25"/>
      <c r="B128" s="26"/>
      <c r="C128" s="29"/>
      <c r="D128" s="29"/>
      <c r="E128" s="29"/>
      <c r="F128" s="29"/>
      <c r="G128" s="29"/>
      <c r="I128" s="29"/>
    </row>
    <row r="129">
      <c r="A129" s="25"/>
      <c r="B129" s="26"/>
      <c r="C129" s="29"/>
      <c r="D129" s="29"/>
      <c r="E129" s="29"/>
      <c r="F129" s="29"/>
      <c r="G129" s="29"/>
      <c r="I129" s="29"/>
    </row>
    <row r="130">
      <c r="A130" s="25"/>
      <c r="B130" s="26"/>
      <c r="C130" s="29"/>
      <c r="D130" s="29"/>
      <c r="E130" s="29"/>
      <c r="F130" s="29"/>
      <c r="G130" s="29"/>
      <c r="I130" s="29"/>
    </row>
    <row r="131">
      <c r="A131" s="25"/>
      <c r="B131" s="26"/>
      <c r="C131" s="29"/>
      <c r="D131" s="29"/>
      <c r="E131" s="29"/>
      <c r="F131" s="29"/>
      <c r="G131" s="29"/>
      <c r="I131" s="29"/>
    </row>
    <row r="132">
      <c r="A132" s="25"/>
      <c r="B132" s="26"/>
      <c r="C132" s="29"/>
      <c r="D132" s="29"/>
      <c r="E132" s="29"/>
      <c r="F132" s="29"/>
      <c r="G132" s="29"/>
      <c r="I132" s="29"/>
    </row>
    <row r="133">
      <c r="A133" s="25"/>
      <c r="B133" s="26"/>
      <c r="C133" s="29"/>
      <c r="D133" s="29"/>
      <c r="E133" s="29"/>
      <c r="F133" s="29"/>
      <c r="G133" s="29"/>
      <c r="I133" s="29"/>
    </row>
    <row r="134">
      <c r="A134" s="25"/>
      <c r="B134" s="26"/>
      <c r="C134" s="29"/>
      <c r="D134" s="29"/>
      <c r="E134" s="29"/>
      <c r="F134" s="29"/>
      <c r="G134" s="29"/>
      <c r="I134" s="29"/>
    </row>
    <row r="135">
      <c r="A135" s="25"/>
      <c r="B135" s="26"/>
      <c r="C135" s="29"/>
      <c r="D135" s="29"/>
      <c r="E135" s="29"/>
      <c r="F135" s="29"/>
      <c r="G135" s="29"/>
      <c r="I135" s="29"/>
    </row>
    <row r="136">
      <c r="A136" s="25"/>
      <c r="B136" s="26"/>
      <c r="C136" s="29"/>
      <c r="D136" s="29"/>
      <c r="E136" s="29"/>
      <c r="F136" s="29"/>
      <c r="G136" s="29"/>
      <c r="I136" s="29"/>
    </row>
    <row r="137">
      <c r="A137" s="25"/>
      <c r="B137" s="26"/>
      <c r="C137" s="29"/>
      <c r="D137" s="29"/>
      <c r="E137" s="29"/>
      <c r="F137" s="29"/>
      <c r="G137" s="29"/>
      <c r="I137" s="29"/>
    </row>
    <row r="138">
      <c r="A138" s="25"/>
      <c r="B138" s="26"/>
      <c r="C138" s="29"/>
      <c r="D138" s="29"/>
      <c r="E138" s="29"/>
      <c r="F138" s="29"/>
      <c r="G138" s="29"/>
      <c r="I138" s="29"/>
    </row>
    <row r="139">
      <c r="A139" s="25"/>
      <c r="B139" s="26"/>
      <c r="C139" s="29"/>
      <c r="D139" s="29"/>
      <c r="E139" s="29"/>
      <c r="F139" s="29"/>
      <c r="G139" s="29"/>
      <c r="I139" s="29"/>
    </row>
    <row r="140">
      <c r="A140" s="25"/>
      <c r="B140" s="26"/>
      <c r="C140" s="29"/>
      <c r="D140" s="29"/>
      <c r="E140" s="29"/>
      <c r="F140" s="29"/>
      <c r="G140" s="29"/>
      <c r="I140" s="29"/>
    </row>
    <row r="141">
      <c r="A141" s="25"/>
      <c r="B141" s="26"/>
      <c r="C141" s="29"/>
      <c r="D141" s="29"/>
      <c r="E141" s="29"/>
      <c r="F141" s="29"/>
      <c r="G141" s="29"/>
      <c r="I141" s="29"/>
    </row>
    <row r="142">
      <c r="A142" s="25"/>
      <c r="B142" s="26"/>
      <c r="C142" s="29"/>
      <c r="D142" s="29"/>
      <c r="E142" s="29"/>
      <c r="F142" s="29"/>
      <c r="G142" s="29"/>
      <c r="I142" s="29"/>
    </row>
    <row r="143">
      <c r="A143" s="25"/>
      <c r="B143" s="26"/>
      <c r="C143" s="29"/>
      <c r="D143" s="29"/>
      <c r="E143" s="29"/>
      <c r="F143" s="29"/>
      <c r="G143" s="29"/>
      <c r="I143" s="29"/>
    </row>
    <row r="144">
      <c r="A144" s="25"/>
      <c r="B144" s="26"/>
      <c r="C144" s="29"/>
      <c r="D144" s="29"/>
      <c r="E144" s="29"/>
      <c r="F144" s="29"/>
      <c r="G144" s="29"/>
      <c r="I144" s="29"/>
    </row>
    <row r="145">
      <c r="A145" s="25"/>
      <c r="B145" s="26"/>
      <c r="C145" s="29"/>
      <c r="D145" s="29"/>
      <c r="E145" s="29"/>
      <c r="F145" s="29"/>
      <c r="G145" s="29"/>
      <c r="I145" s="29"/>
    </row>
    <row r="146">
      <c r="A146" s="25"/>
      <c r="B146" s="26"/>
      <c r="C146" s="29"/>
      <c r="D146" s="29"/>
      <c r="E146" s="29"/>
      <c r="F146" s="29"/>
      <c r="G146" s="29"/>
      <c r="I146" s="29"/>
    </row>
    <row r="147">
      <c r="A147" s="25"/>
      <c r="B147" s="26"/>
      <c r="C147" s="29"/>
      <c r="D147" s="29"/>
      <c r="E147" s="29"/>
      <c r="F147" s="29"/>
      <c r="G147" s="29"/>
      <c r="I147" s="29"/>
    </row>
    <row r="148">
      <c r="A148" s="25"/>
      <c r="B148" s="26"/>
      <c r="C148" s="29"/>
      <c r="D148" s="29"/>
      <c r="E148" s="29"/>
      <c r="F148" s="29"/>
      <c r="G148" s="29"/>
      <c r="I148" s="29"/>
    </row>
    <row r="149">
      <c r="A149" s="25"/>
      <c r="B149" s="26"/>
      <c r="C149" s="29"/>
      <c r="D149" s="29"/>
      <c r="E149" s="29"/>
      <c r="F149" s="29"/>
      <c r="G149" s="29"/>
      <c r="I149" s="29"/>
    </row>
    <row r="150">
      <c r="A150" s="25"/>
      <c r="B150" s="26"/>
      <c r="C150" s="29"/>
      <c r="D150" s="29"/>
      <c r="E150" s="29"/>
      <c r="F150" s="29"/>
      <c r="G150" s="29"/>
      <c r="I150" s="29"/>
    </row>
    <row r="151">
      <c r="A151" s="25"/>
      <c r="B151" s="26"/>
      <c r="C151" s="29"/>
      <c r="D151" s="29"/>
      <c r="E151" s="29"/>
      <c r="F151" s="29"/>
      <c r="G151" s="29"/>
      <c r="I151" s="29"/>
    </row>
    <row r="152">
      <c r="A152" s="25"/>
      <c r="B152" s="26"/>
      <c r="C152" s="29"/>
      <c r="D152" s="29"/>
      <c r="E152" s="29"/>
      <c r="F152" s="29"/>
      <c r="G152" s="29"/>
      <c r="I152" s="29"/>
    </row>
    <row r="153">
      <c r="A153" s="25"/>
      <c r="B153" s="26"/>
      <c r="C153" s="29"/>
      <c r="D153" s="29"/>
      <c r="E153" s="29"/>
      <c r="F153" s="29"/>
      <c r="G153" s="29"/>
      <c r="I153" s="29"/>
    </row>
    <row r="154">
      <c r="A154" s="25"/>
      <c r="B154" s="26"/>
      <c r="C154" s="29"/>
      <c r="D154" s="29"/>
      <c r="E154" s="29"/>
      <c r="F154" s="29"/>
      <c r="G154" s="29"/>
      <c r="I154" s="29"/>
    </row>
    <row r="155">
      <c r="A155" s="25"/>
      <c r="B155" s="26"/>
      <c r="C155" s="29"/>
      <c r="D155" s="29"/>
      <c r="E155" s="29"/>
      <c r="F155" s="29"/>
      <c r="G155" s="29"/>
      <c r="I155" s="29"/>
    </row>
    <row r="156">
      <c r="A156" s="25"/>
      <c r="B156" s="26"/>
      <c r="C156" s="29"/>
      <c r="D156" s="29"/>
      <c r="E156" s="29"/>
      <c r="F156" s="29"/>
      <c r="G156" s="29"/>
      <c r="I156" s="29"/>
    </row>
    <row r="157">
      <c r="A157" s="25"/>
      <c r="B157" s="26"/>
      <c r="C157" s="29"/>
      <c r="D157" s="29"/>
      <c r="E157" s="29"/>
      <c r="F157" s="29"/>
      <c r="G157" s="29"/>
      <c r="I157" s="29"/>
    </row>
    <row r="158">
      <c r="A158" s="25"/>
      <c r="B158" s="26"/>
      <c r="C158" s="29"/>
      <c r="D158" s="29"/>
      <c r="E158" s="29"/>
      <c r="F158" s="29"/>
      <c r="G158" s="29"/>
      <c r="I158" s="29"/>
    </row>
    <row r="159">
      <c r="A159" s="25"/>
      <c r="B159" s="26"/>
      <c r="C159" s="29"/>
      <c r="D159" s="29"/>
      <c r="E159" s="29"/>
      <c r="F159" s="29"/>
      <c r="G159" s="29"/>
      <c r="I159" s="29"/>
    </row>
    <row r="160">
      <c r="A160" s="38"/>
      <c r="B160" s="38"/>
      <c r="C160" s="38"/>
      <c r="D160" s="38"/>
      <c r="E160" s="38"/>
      <c r="G160" s="38"/>
    </row>
    <row r="161">
      <c r="A161" s="38"/>
      <c r="B161" s="38"/>
      <c r="C161" s="38"/>
      <c r="D161" s="38"/>
      <c r="E161" s="38"/>
      <c r="G161" s="38"/>
    </row>
    <row r="162">
      <c r="A162" s="38"/>
      <c r="B162" s="38"/>
      <c r="C162" s="38"/>
      <c r="D162" s="38"/>
      <c r="E162" s="38"/>
      <c r="G162" s="38"/>
    </row>
    <row r="163">
      <c r="A163" s="38"/>
      <c r="B163" s="38"/>
      <c r="C163" s="38"/>
      <c r="D163" s="38"/>
      <c r="E163" s="38"/>
      <c r="G163" s="38"/>
    </row>
    <row r="164">
      <c r="A164" s="38"/>
      <c r="B164" s="38"/>
      <c r="C164" s="38"/>
      <c r="D164" s="38"/>
      <c r="E164" s="38"/>
      <c r="G164" s="38"/>
    </row>
    <row r="165">
      <c r="A165" s="38"/>
      <c r="B165" s="38"/>
      <c r="C165" s="38"/>
      <c r="D165" s="38"/>
      <c r="E165" s="38"/>
      <c r="G165" s="38"/>
    </row>
    <row r="166">
      <c r="A166" s="38"/>
      <c r="B166" s="38"/>
      <c r="C166" s="38"/>
      <c r="D166" s="38"/>
      <c r="E166" s="38"/>
      <c r="G166" s="38"/>
    </row>
    <row r="167">
      <c r="A167" s="38"/>
      <c r="B167" s="38"/>
      <c r="C167" s="38"/>
      <c r="D167" s="38"/>
      <c r="E167" s="38"/>
      <c r="G167" s="38"/>
    </row>
    <row r="168">
      <c r="A168" s="38"/>
      <c r="B168" s="38"/>
      <c r="C168" s="38"/>
      <c r="D168" s="38"/>
      <c r="E168" s="38"/>
      <c r="G168" s="38"/>
    </row>
    <row r="169">
      <c r="A169" s="38"/>
      <c r="B169" s="38"/>
      <c r="C169" s="38"/>
      <c r="D169" s="38"/>
      <c r="E169" s="38"/>
      <c r="G169" s="38"/>
    </row>
    <row r="170">
      <c r="A170" s="38"/>
      <c r="B170" s="38"/>
      <c r="C170" s="38"/>
      <c r="D170" s="38"/>
      <c r="E170" s="38"/>
      <c r="G170" s="38"/>
    </row>
    <row r="171">
      <c r="A171" s="38"/>
      <c r="B171" s="38"/>
      <c r="C171" s="38"/>
      <c r="D171" s="38"/>
      <c r="E171" s="38"/>
      <c r="G171" s="38"/>
    </row>
    <row r="172">
      <c r="A172" s="38"/>
      <c r="B172" s="38"/>
      <c r="C172" s="38"/>
      <c r="D172" s="38"/>
      <c r="E172" s="38"/>
      <c r="G172" s="38"/>
    </row>
    <row r="173">
      <c r="A173" s="38"/>
      <c r="B173" s="38"/>
      <c r="C173" s="38"/>
      <c r="D173" s="38"/>
      <c r="E173" s="38"/>
      <c r="G173" s="38"/>
    </row>
    <row r="174">
      <c r="A174" s="38"/>
      <c r="B174" s="38"/>
      <c r="C174" s="38"/>
      <c r="D174" s="38"/>
      <c r="E174" s="38"/>
      <c r="G174" s="38"/>
    </row>
    <row r="175">
      <c r="A175" s="38"/>
      <c r="B175" s="38"/>
      <c r="C175" s="38"/>
      <c r="D175" s="38"/>
      <c r="E175" s="38"/>
      <c r="G175" s="38"/>
    </row>
    <row r="176">
      <c r="A176" s="38"/>
      <c r="B176" s="38"/>
      <c r="C176" s="38"/>
      <c r="D176" s="38"/>
      <c r="E176" s="38"/>
      <c r="G176" s="38"/>
    </row>
    <row r="177">
      <c r="A177" s="38"/>
      <c r="B177" s="38"/>
      <c r="C177" s="38"/>
      <c r="D177" s="38"/>
      <c r="E177" s="38"/>
      <c r="G177" s="38"/>
    </row>
    <row r="178">
      <c r="A178" s="38"/>
      <c r="B178" s="38"/>
      <c r="C178" s="38"/>
      <c r="D178" s="38"/>
      <c r="E178" s="38"/>
      <c r="G178" s="38"/>
    </row>
    <row r="179">
      <c r="A179" s="38"/>
      <c r="B179" s="38"/>
      <c r="C179" s="38"/>
      <c r="D179" s="38"/>
      <c r="E179" s="38"/>
      <c r="G179" s="38"/>
    </row>
    <row r="180">
      <c r="A180" s="38"/>
      <c r="B180" s="38"/>
      <c r="C180" s="38"/>
      <c r="D180" s="38"/>
      <c r="E180" s="38"/>
      <c r="G180" s="38"/>
    </row>
    <row r="181">
      <c r="A181" s="38"/>
      <c r="B181" s="38"/>
      <c r="C181" s="38"/>
      <c r="D181" s="38"/>
      <c r="E181" s="38"/>
      <c r="G181" s="38"/>
    </row>
    <row r="182">
      <c r="A182" s="38"/>
      <c r="B182" s="38"/>
      <c r="C182" s="38"/>
      <c r="D182" s="38"/>
      <c r="E182" s="38"/>
      <c r="G182" s="38"/>
    </row>
    <row r="183">
      <c r="A183" s="38"/>
      <c r="B183" s="38"/>
      <c r="C183" s="38"/>
      <c r="D183" s="38"/>
      <c r="E183" s="38"/>
      <c r="G183" s="38"/>
    </row>
    <row r="184">
      <c r="A184" s="38"/>
      <c r="B184" s="38"/>
      <c r="C184" s="38"/>
      <c r="D184" s="38"/>
      <c r="E184" s="38"/>
      <c r="G184" s="38"/>
    </row>
    <row r="185">
      <c r="A185" s="38"/>
      <c r="B185" s="38"/>
      <c r="C185" s="38"/>
      <c r="D185" s="38"/>
      <c r="E185" s="38"/>
      <c r="G185" s="38"/>
    </row>
    <row r="186">
      <c r="A186" s="38"/>
      <c r="B186" s="38"/>
      <c r="C186" s="38"/>
      <c r="D186" s="38"/>
      <c r="E186" s="38"/>
      <c r="G186" s="38"/>
    </row>
    <row r="187">
      <c r="A187" s="38"/>
      <c r="B187" s="38"/>
      <c r="C187" s="38"/>
      <c r="D187" s="38"/>
      <c r="E187" s="38"/>
      <c r="G187" s="38"/>
    </row>
    <row r="188">
      <c r="A188" s="38"/>
      <c r="B188" s="38"/>
      <c r="C188" s="38"/>
      <c r="D188" s="38"/>
      <c r="E188" s="38"/>
      <c r="G188" s="38"/>
    </row>
    <row r="189">
      <c r="A189" s="38"/>
      <c r="B189" s="38"/>
      <c r="C189" s="38"/>
      <c r="D189" s="38"/>
      <c r="E189" s="38"/>
      <c r="G189" s="38"/>
    </row>
    <row r="190">
      <c r="A190" s="38"/>
      <c r="B190" s="38"/>
      <c r="C190" s="38"/>
      <c r="D190" s="38"/>
      <c r="E190" s="38"/>
      <c r="G190" s="38"/>
    </row>
    <row r="191">
      <c r="A191" s="38"/>
      <c r="B191" s="38"/>
      <c r="C191" s="38"/>
      <c r="D191" s="38"/>
      <c r="E191" s="38"/>
      <c r="G191" s="38"/>
    </row>
    <row r="192">
      <c r="A192" s="38"/>
      <c r="B192" s="38"/>
      <c r="C192" s="38"/>
      <c r="D192" s="38"/>
      <c r="E192" s="38"/>
      <c r="G192" s="38"/>
    </row>
    <row r="193">
      <c r="A193" s="38"/>
      <c r="B193" s="38"/>
      <c r="C193" s="38"/>
      <c r="D193" s="38"/>
      <c r="E193" s="38"/>
      <c r="G193" s="38"/>
    </row>
    <row r="194">
      <c r="A194" s="38"/>
      <c r="B194" s="38"/>
      <c r="C194" s="38"/>
      <c r="D194" s="38"/>
      <c r="E194" s="38"/>
      <c r="G194" s="38"/>
    </row>
    <row r="195">
      <c r="A195" s="38"/>
      <c r="B195" s="38"/>
      <c r="C195" s="38"/>
      <c r="D195" s="38"/>
      <c r="E195" s="38"/>
      <c r="G195" s="38"/>
    </row>
    <row r="196">
      <c r="A196" s="38"/>
      <c r="B196" s="38"/>
      <c r="C196" s="38"/>
      <c r="D196" s="38"/>
      <c r="E196" s="38"/>
      <c r="G196" s="38"/>
    </row>
    <row r="197">
      <c r="A197" s="38"/>
      <c r="B197" s="38"/>
      <c r="C197" s="38"/>
      <c r="D197" s="38"/>
      <c r="E197" s="38"/>
      <c r="G197" s="38"/>
    </row>
    <row r="198">
      <c r="A198" s="38"/>
      <c r="B198" s="38"/>
      <c r="C198" s="38"/>
      <c r="D198" s="38"/>
      <c r="E198" s="38"/>
      <c r="G198" s="38"/>
    </row>
    <row r="199">
      <c r="A199" s="38"/>
      <c r="B199" s="38"/>
      <c r="C199" s="38"/>
      <c r="D199" s="38"/>
      <c r="E199" s="38"/>
      <c r="G199" s="38"/>
    </row>
    <row r="200">
      <c r="A200" s="38"/>
      <c r="B200" s="38"/>
      <c r="C200" s="38"/>
      <c r="D200" s="38"/>
      <c r="E200" s="38"/>
      <c r="G200" s="38"/>
    </row>
    <row r="201">
      <c r="A201" s="38"/>
      <c r="B201" s="38"/>
      <c r="C201" s="38"/>
      <c r="D201" s="38"/>
      <c r="E201" s="38"/>
      <c r="G201" s="38"/>
    </row>
    <row r="202">
      <c r="A202" s="38"/>
      <c r="B202" s="38"/>
      <c r="C202" s="38"/>
      <c r="D202" s="38"/>
      <c r="E202" s="38"/>
      <c r="G202" s="38"/>
    </row>
    <row r="203">
      <c r="A203" s="38"/>
      <c r="B203" s="38"/>
      <c r="C203" s="38"/>
      <c r="D203" s="38"/>
      <c r="E203" s="38"/>
      <c r="G203" s="38"/>
    </row>
    <row r="204">
      <c r="A204" s="38"/>
      <c r="B204" s="38"/>
      <c r="C204" s="38"/>
      <c r="D204" s="38"/>
      <c r="E204" s="38"/>
      <c r="G204" s="38"/>
    </row>
    <row r="205">
      <c r="A205" s="38"/>
      <c r="B205" s="38"/>
      <c r="C205" s="38"/>
      <c r="D205" s="38"/>
      <c r="E205" s="38"/>
      <c r="G205" s="38"/>
    </row>
    <row r="206">
      <c r="A206" s="38"/>
      <c r="B206" s="38"/>
      <c r="C206" s="38"/>
      <c r="D206" s="38"/>
      <c r="E206" s="38"/>
      <c r="G206" s="38"/>
    </row>
    <row r="207">
      <c r="A207" s="38"/>
      <c r="B207" s="38"/>
      <c r="C207" s="38"/>
      <c r="D207" s="38"/>
      <c r="E207" s="38"/>
      <c r="G207" s="38"/>
    </row>
    <row r="208">
      <c r="A208" s="38"/>
      <c r="B208" s="38"/>
      <c r="C208" s="38"/>
      <c r="D208" s="38"/>
      <c r="E208" s="38"/>
      <c r="G208" s="38"/>
    </row>
    <row r="209">
      <c r="A209" s="38"/>
      <c r="B209" s="38"/>
      <c r="C209" s="38"/>
      <c r="D209" s="38"/>
      <c r="E209" s="38"/>
      <c r="G209" s="38"/>
    </row>
    <row r="210">
      <c r="A210" s="38"/>
      <c r="B210" s="38"/>
      <c r="C210" s="38"/>
      <c r="D210" s="38"/>
      <c r="E210" s="38"/>
      <c r="G210" s="38"/>
    </row>
    <row r="211">
      <c r="A211" s="38"/>
      <c r="B211" s="38"/>
      <c r="C211" s="38"/>
      <c r="D211" s="38"/>
      <c r="E211" s="38"/>
      <c r="G211" s="38"/>
    </row>
    <row r="212">
      <c r="A212" s="38"/>
      <c r="B212" s="38"/>
      <c r="C212" s="38"/>
      <c r="D212" s="38"/>
      <c r="E212" s="38"/>
      <c r="G212" s="38"/>
    </row>
    <row r="213">
      <c r="A213" s="38"/>
      <c r="B213" s="38"/>
      <c r="C213" s="38"/>
      <c r="D213" s="38"/>
      <c r="E213" s="38"/>
      <c r="G213" s="38"/>
    </row>
    <row r="214">
      <c r="A214" s="38"/>
      <c r="B214" s="38"/>
      <c r="C214" s="38"/>
      <c r="D214" s="38"/>
      <c r="E214" s="38"/>
      <c r="G214" s="38"/>
    </row>
    <row r="215">
      <c r="A215" s="38"/>
      <c r="B215" s="38"/>
      <c r="C215" s="38"/>
      <c r="D215" s="38"/>
      <c r="E215" s="38"/>
      <c r="G215" s="38"/>
    </row>
    <row r="216">
      <c r="A216" s="38"/>
      <c r="B216" s="38"/>
      <c r="C216" s="38"/>
      <c r="D216" s="38"/>
      <c r="E216" s="38"/>
      <c r="G216" s="38"/>
    </row>
    <row r="217">
      <c r="A217" s="38"/>
      <c r="B217" s="38"/>
      <c r="C217" s="38"/>
      <c r="D217" s="38"/>
      <c r="E217" s="38"/>
      <c r="G217" s="38"/>
    </row>
    <row r="218">
      <c r="A218" s="38"/>
      <c r="B218" s="38"/>
      <c r="C218" s="38"/>
      <c r="D218" s="38"/>
      <c r="E218" s="38"/>
      <c r="G218" s="38"/>
    </row>
    <row r="219">
      <c r="A219" s="38"/>
      <c r="B219" s="38"/>
      <c r="C219" s="38"/>
      <c r="D219" s="38"/>
      <c r="E219" s="38"/>
      <c r="G219" s="38"/>
    </row>
    <row r="220">
      <c r="A220" s="38"/>
      <c r="B220" s="38"/>
      <c r="C220" s="38"/>
      <c r="D220" s="38"/>
      <c r="E220" s="38"/>
      <c r="G220" s="38"/>
    </row>
    <row r="221">
      <c r="A221" s="38"/>
      <c r="B221" s="38"/>
      <c r="C221" s="38"/>
      <c r="D221" s="38"/>
      <c r="E221" s="38"/>
      <c r="G221" s="38"/>
    </row>
    <row r="222">
      <c r="A222" s="38"/>
      <c r="B222" s="38"/>
      <c r="C222" s="38"/>
      <c r="D222" s="38"/>
      <c r="E222" s="38"/>
      <c r="G222" s="38"/>
    </row>
    <row r="223">
      <c r="A223" s="38"/>
      <c r="B223" s="38"/>
      <c r="C223" s="38"/>
      <c r="D223" s="38"/>
      <c r="E223" s="38"/>
      <c r="G223" s="38"/>
    </row>
    <row r="224">
      <c r="A224" s="38"/>
      <c r="B224" s="38"/>
      <c r="C224" s="38"/>
      <c r="D224" s="38"/>
      <c r="E224" s="38"/>
      <c r="G224" s="38"/>
    </row>
    <row r="225">
      <c r="A225" s="38"/>
      <c r="B225" s="38"/>
      <c r="C225" s="38"/>
      <c r="D225" s="38"/>
      <c r="E225" s="38"/>
      <c r="G225" s="38"/>
    </row>
    <row r="226">
      <c r="A226" s="38"/>
      <c r="B226" s="38"/>
      <c r="C226" s="38"/>
      <c r="D226" s="38"/>
      <c r="E226" s="38"/>
      <c r="G226" s="38"/>
    </row>
    <row r="227">
      <c r="A227" s="38"/>
      <c r="B227" s="38"/>
      <c r="C227" s="38"/>
      <c r="D227" s="38"/>
      <c r="E227" s="38"/>
      <c r="G227" s="38"/>
    </row>
    <row r="228">
      <c r="A228" s="38"/>
      <c r="B228" s="38"/>
      <c r="C228" s="38"/>
      <c r="D228" s="38"/>
      <c r="E228" s="38"/>
      <c r="G228" s="38"/>
    </row>
    <row r="229">
      <c r="A229" s="38"/>
      <c r="B229" s="38"/>
      <c r="C229" s="38"/>
      <c r="D229" s="38"/>
      <c r="E229" s="38"/>
      <c r="G229" s="38"/>
    </row>
    <row r="230">
      <c r="A230" s="38"/>
      <c r="B230" s="38"/>
      <c r="C230" s="38"/>
      <c r="D230" s="38"/>
      <c r="E230" s="38"/>
      <c r="G230" s="38"/>
    </row>
    <row r="231">
      <c r="A231" s="38"/>
      <c r="B231" s="38"/>
      <c r="C231" s="38"/>
      <c r="D231" s="38"/>
      <c r="E231" s="38"/>
      <c r="G231" s="38"/>
    </row>
    <row r="232">
      <c r="A232" s="38"/>
      <c r="B232" s="38"/>
      <c r="C232" s="38"/>
      <c r="D232" s="38"/>
      <c r="E232" s="38"/>
      <c r="G232" s="38"/>
    </row>
    <row r="233">
      <c r="A233" s="38"/>
      <c r="B233" s="38"/>
      <c r="C233" s="38"/>
      <c r="D233" s="38"/>
      <c r="E233" s="38"/>
      <c r="G233" s="38"/>
    </row>
    <row r="234">
      <c r="A234" s="38"/>
      <c r="B234" s="38"/>
      <c r="C234" s="38"/>
      <c r="D234" s="38"/>
      <c r="E234" s="38"/>
      <c r="G234" s="38"/>
    </row>
    <row r="235">
      <c r="A235" s="38"/>
      <c r="B235" s="38"/>
      <c r="C235" s="38"/>
      <c r="D235" s="38"/>
      <c r="E235" s="38"/>
      <c r="G235" s="38"/>
    </row>
    <row r="236">
      <c r="A236" s="38"/>
      <c r="B236" s="38"/>
      <c r="C236" s="38"/>
      <c r="D236" s="38"/>
      <c r="E236" s="38"/>
      <c r="G236" s="38"/>
    </row>
    <row r="237">
      <c r="A237" s="38"/>
      <c r="B237" s="38"/>
      <c r="C237" s="38"/>
      <c r="D237" s="38"/>
      <c r="E237" s="38"/>
      <c r="G237" s="38"/>
    </row>
    <row r="238">
      <c r="A238" s="38"/>
      <c r="B238" s="38"/>
      <c r="C238" s="38"/>
      <c r="D238" s="38"/>
      <c r="E238" s="38"/>
      <c r="G238" s="38"/>
    </row>
    <row r="239">
      <c r="A239" s="38"/>
      <c r="B239" s="38"/>
      <c r="C239" s="38"/>
      <c r="D239" s="38"/>
      <c r="E239" s="38"/>
      <c r="G239" s="38"/>
    </row>
    <row r="240">
      <c r="A240" s="38"/>
      <c r="B240" s="38"/>
      <c r="C240" s="38"/>
      <c r="D240" s="38"/>
      <c r="E240" s="38"/>
      <c r="G240" s="38"/>
    </row>
    <row r="241">
      <c r="A241" s="38"/>
      <c r="B241" s="38"/>
      <c r="C241" s="38"/>
      <c r="D241" s="38"/>
      <c r="E241" s="38"/>
      <c r="G241" s="38"/>
    </row>
    <row r="242">
      <c r="A242" s="38"/>
      <c r="B242" s="38"/>
      <c r="C242" s="38"/>
      <c r="D242" s="38"/>
      <c r="E242" s="38"/>
      <c r="G242" s="38"/>
    </row>
    <row r="243">
      <c r="A243" s="38"/>
      <c r="B243" s="38"/>
      <c r="C243" s="38"/>
      <c r="D243" s="38"/>
      <c r="E243" s="38"/>
      <c r="G243" s="38"/>
    </row>
    <row r="244">
      <c r="A244" s="38"/>
      <c r="B244" s="38"/>
      <c r="C244" s="38"/>
      <c r="D244" s="38"/>
      <c r="E244" s="38"/>
      <c r="G244" s="38"/>
    </row>
    <row r="245">
      <c r="A245" s="38"/>
      <c r="B245" s="38"/>
      <c r="C245" s="38"/>
      <c r="D245" s="38"/>
      <c r="E245" s="38"/>
      <c r="G245" s="38"/>
    </row>
    <row r="246">
      <c r="A246" s="38"/>
      <c r="B246" s="38"/>
      <c r="C246" s="38"/>
      <c r="D246" s="38"/>
      <c r="E246" s="38"/>
      <c r="G246" s="38"/>
    </row>
    <row r="247">
      <c r="A247" s="38"/>
      <c r="B247" s="38"/>
      <c r="C247" s="38"/>
      <c r="D247" s="38"/>
      <c r="E247" s="38"/>
      <c r="G247" s="38"/>
    </row>
    <row r="248">
      <c r="A248" s="38"/>
      <c r="B248" s="38"/>
      <c r="C248" s="38"/>
      <c r="D248" s="38"/>
      <c r="E248" s="38"/>
      <c r="G248" s="38"/>
    </row>
    <row r="249">
      <c r="A249" s="38"/>
      <c r="B249" s="38"/>
      <c r="C249" s="38"/>
      <c r="D249" s="38"/>
      <c r="E249" s="38"/>
      <c r="G249" s="38"/>
    </row>
    <row r="250">
      <c r="A250" s="38"/>
      <c r="B250" s="38"/>
      <c r="C250" s="38"/>
      <c r="D250" s="38"/>
      <c r="E250" s="38"/>
      <c r="G250" s="38"/>
    </row>
    <row r="251">
      <c r="A251" s="38"/>
      <c r="B251" s="38"/>
      <c r="C251" s="38"/>
      <c r="D251" s="38"/>
      <c r="E251" s="38"/>
      <c r="G251" s="38"/>
    </row>
    <row r="252">
      <c r="A252" s="38"/>
      <c r="B252" s="38"/>
      <c r="C252" s="38"/>
      <c r="D252" s="38"/>
      <c r="E252" s="38"/>
      <c r="G252" s="38"/>
    </row>
    <row r="253">
      <c r="A253" s="38"/>
      <c r="B253" s="38"/>
      <c r="C253" s="38"/>
      <c r="D253" s="38"/>
      <c r="E253" s="38"/>
      <c r="G253" s="38"/>
    </row>
    <row r="254">
      <c r="A254" s="38"/>
      <c r="B254" s="38"/>
      <c r="C254" s="38"/>
      <c r="D254" s="38"/>
      <c r="E254" s="38"/>
      <c r="G254" s="38"/>
    </row>
    <row r="255">
      <c r="A255" s="38"/>
      <c r="B255" s="38"/>
      <c r="C255" s="38"/>
      <c r="D255" s="38"/>
      <c r="E255" s="38"/>
      <c r="G255" s="38"/>
    </row>
    <row r="256">
      <c r="A256" s="38"/>
      <c r="B256" s="38"/>
      <c r="C256" s="38"/>
      <c r="D256" s="38"/>
      <c r="E256" s="38"/>
      <c r="G256" s="38"/>
    </row>
    <row r="257">
      <c r="A257" s="38"/>
      <c r="B257" s="38"/>
      <c r="C257" s="38"/>
      <c r="D257" s="38"/>
      <c r="E257" s="38"/>
      <c r="G257" s="38"/>
    </row>
    <row r="258">
      <c r="A258" s="38"/>
      <c r="B258" s="38"/>
      <c r="C258" s="38"/>
      <c r="D258" s="38"/>
      <c r="E258" s="38"/>
      <c r="G258" s="38"/>
    </row>
    <row r="259">
      <c r="A259" s="38"/>
      <c r="B259" s="38"/>
      <c r="C259" s="38"/>
      <c r="D259" s="38"/>
      <c r="E259" s="38"/>
      <c r="G259" s="38"/>
    </row>
    <row r="260">
      <c r="A260" s="38"/>
      <c r="B260" s="38"/>
      <c r="C260" s="38"/>
      <c r="D260" s="38"/>
      <c r="E260" s="38"/>
      <c r="G260" s="38"/>
    </row>
    <row r="261">
      <c r="A261" s="38"/>
      <c r="B261" s="38"/>
      <c r="C261" s="38"/>
      <c r="D261" s="38"/>
      <c r="E261" s="38"/>
      <c r="G261" s="38"/>
    </row>
    <row r="262">
      <c r="A262" s="38"/>
      <c r="B262" s="38"/>
      <c r="C262" s="38"/>
      <c r="D262" s="38"/>
      <c r="E262" s="38"/>
      <c r="G262" s="38"/>
    </row>
    <row r="263">
      <c r="A263" s="38"/>
      <c r="B263" s="38"/>
      <c r="C263" s="38"/>
      <c r="D263" s="38"/>
      <c r="E263" s="38"/>
      <c r="G263" s="38"/>
    </row>
    <row r="264">
      <c r="A264" s="38"/>
      <c r="B264" s="38"/>
      <c r="C264" s="38"/>
      <c r="D264" s="38"/>
      <c r="E264" s="38"/>
      <c r="G264" s="38"/>
    </row>
    <row r="265">
      <c r="A265" s="38"/>
      <c r="B265" s="38"/>
      <c r="C265" s="38"/>
      <c r="D265" s="38"/>
      <c r="E265" s="38"/>
      <c r="G265" s="38"/>
    </row>
    <row r="266">
      <c r="A266" s="38"/>
      <c r="B266" s="38"/>
      <c r="C266" s="38"/>
      <c r="D266" s="38"/>
      <c r="E266" s="38"/>
      <c r="G266" s="38"/>
    </row>
    <row r="267">
      <c r="A267" s="38"/>
      <c r="B267" s="38"/>
      <c r="C267" s="38"/>
      <c r="D267" s="38"/>
      <c r="E267" s="38"/>
      <c r="G267" s="38"/>
    </row>
    <row r="268">
      <c r="A268" s="38"/>
      <c r="B268" s="38"/>
      <c r="C268" s="38"/>
      <c r="D268" s="38"/>
      <c r="E268" s="38"/>
      <c r="G268" s="38"/>
    </row>
    <row r="269">
      <c r="A269" s="38"/>
      <c r="B269" s="38"/>
      <c r="C269" s="38"/>
      <c r="D269" s="38"/>
      <c r="E269" s="38"/>
      <c r="G269" s="38"/>
    </row>
    <row r="270">
      <c r="A270" s="38"/>
      <c r="B270" s="38"/>
      <c r="C270" s="38"/>
      <c r="D270" s="38"/>
      <c r="E270" s="38"/>
      <c r="G270" s="38"/>
    </row>
    <row r="271">
      <c r="A271" s="38"/>
      <c r="B271" s="38"/>
      <c r="C271" s="38"/>
      <c r="D271" s="38"/>
      <c r="E271" s="38"/>
      <c r="G271" s="38"/>
    </row>
    <row r="272">
      <c r="A272" s="38"/>
      <c r="B272" s="38"/>
      <c r="C272" s="38"/>
      <c r="D272" s="38"/>
      <c r="E272" s="38"/>
      <c r="G272" s="38"/>
    </row>
    <row r="273">
      <c r="A273" s="38"/>
      <c r="B273" s="38"/>
      <c r="C273" s="38"/>
      <c r="D273" s="38"/>
      <c r="E273" s="38"/>
      <c r="G273" s="38"/>
    </row>
    <row r="274">
      <c r="A274" s="38"/>
      <c r="B274" s="38"/>
      <c r="C274" s="38"/>
      <c r="D274" s="38"/>
      <c r="E274" s="38"/>
      <c r="G274" s="38"/>
    </row>
    <row r="275">
      <c r="A275" s="38"/>
      <c r="B275" s="38"/>
      <c r="C275" s="38"/>
      <c r="D275" s="38"/>
      <c r="E275" s="38"/>
      <c r="G275" s="38"/>
    </row>
    <row r="276">
      <c r="A276" s="38"/>
      <c r="B276" s="38"/>
      <c r="C276" s="38"/>
      <c r="D276" s="38"/>
      <c r="E276" s="38"/>
      <c r="G276" s="38"/>
    </row>
    <row r="277">
      <c r="A277" s="38"/>
      <c r="B277" s="38"/>
      <c r="C277" s="38"/>
      <c r="D277" s="38"/>
      <c r="E277" s="38"/>
      <c r="G277" s="38"/>
    </row>
    <row r="278">
      <c r="A278" s="38"/>
      <c r="B278" s="38"/>
      <c r="C278" s="38"/>
      <c r="D278" s="38"/>
      <c r="E278" s="38"/>
      <c r="G278" s="38"/>
    </row>
    <row r="279">
      <c r="A279" s="38"/>
      <c r="B279" s="38"/>
      <c r="C279" s="38"/>
      <c r="D279" s="38"/>
      <c r="E279" s="38"/>
      <c r="G279" s="38"/>
    </row>
    <row r="280">
      <c r="A280" s="38"/>
      <c r="B280" s="38"/>
      <c r="C280" s="38"/>
      <c r="D280" s="38"/>
      <c r="E280" s="38"/>
      <c r="G280" s="38"/>
    </row>
    <row r="281">
      <c r="A281" s="38"/>
      <c r="B281" s="38"/>
      <c r="C281" s="38"/>
      <c r="D281" s="38"/>
      <c r="E281" s="38"/>
      <c r="G281" s="38"/>
    </row>
    <row r="282">
      <c r="A282" s="38"/>
      <c r="B282" s="38"/>
      <c r="C282" s="38"/>
      <c r="D282" s="38"/>
      <c r="E282" s="38"/>
      <c r="G282" s="38"/>
    </row>
    <row r="283">
      <c r="A283" s="38"/>
      <c r="B283" s="38"/>
      <c r="C283" s="38"/>
      <c r="D283" s="38"/>
      <c r="E283" s="38"/>
      <c r="G283" s="38"/>
    </row>
    <row r="284">
      <c r="A284" s="38"/>
      <c r="B284" s="38"/>
      <c r="C284" s="38"/>
      <c r="D284" s="38"/>
      <c r="E284" s="38"/>
      <c r="G284" s="38"/>
    </row>
    <row r="285">
      <c r="A285" s="38"/>
      <c r="B285" s="38"/>
      <c r="C285" s="38"/>
      <c r="D285" s="38"/>
      <c r="E285" s="38"/>
      <c r="G285" s="38"/>
    </row>
    <row r="286">
      <c r="A286" s="38"/>
      <c r="B286" s="38"/>
      <c r="C286" s="38"/>
      <c r="D286" s="38"/>
      <c r="E286" s="38"/>
      <c r="G286" s="38"/>
    </row>
    <row r="287">
      <c r="A287" s="38"/>
      <c r="B287" s="38"/>
      <c r="C287" s="38"/>
      <c r="D287" s="38"/>
      <c r="E287" s="38"/>
      <c r="G287" s="38"/>
    </row>
    <row r="288">
      <c r="A288" s="38"/>
      <c r="B288" s="38"/>
      <c r="C288" s="38"/>
      <c r="D288" s="38"/>
      <c r="E288" s="38"/>
      <c r="G288" s="38"/>
    </row>
    <row r="289">
      <c r="A289" s="38"/>
      <c r="B289" s="38"/>
      <c r="C289" s="38"/>
      <c r="D289" s="38"/>
      <c r="E289" s="38"/>
      <c r="G289" s="38"/>
    </row>
    <row r="290">
      <c r="A290" s="38"/>
      <c r="B290" s="38"/>
      <c r="C290" s="38"/>
      <c r="D290" s="38"/>
      <c r="E290" s="38"/>
      <c r="G290" s="38"/>
    </row>
    <row r="291">
      <c r="A291" s="38"/>
      <c r="B291" s="38"/>
      <c r="C291" s="38"/>
      <c r="D291" s="38"/>
      <c r="E291" s="38"/>
      <c r="G291" s="38"/>
    </row>
    <row r="292">
      <c r="A292" s="38"/>
      <c r="B292" s="38"/>
      <c r="C292" s="38"/>
      <c r="D292" s="38"/>
      <c r="E292" s="38"/>
      <c r="G292" s="38"/>
    </row>
    <row r="293">
      <c r="A293" s="38"/>
      <c r="B293" s="38"/>
      <c r="C293" s="38"/>
      <c r="D293" s="38"/>
      <c r="E293" s="38"/>
      <c r="G293" s="38"/>
    </row>
    <row r="294">
      <c r="A294" s="38"/>
      <c r="B294" s="38"/>
      <c r="C294" s="38"/>
      <c r="D294" s="38"/>
      <c r="E294" s="38"/>
      <c r="G294" s="38"/>
    </row>
    <row r="295">
      <c r="A295" s="38"/>
      <c r="B295" s="38"/>
      <c r="C295" s="38"/>
      <c r="D295" s="38"/>
      <c r="E295" s="38"/>
      <c r="G295" s="38"/>
    </row>
    <row r="296">
      <c r="A296" s="38"/>
      <c r="B296" s="38"/>
      <c r="C296" s="38"/>
      <c r="D296" s="38"/>
      <c r="E296" s="38"/>
      <c r="G296" s="38"/>
    </row>
    <row r="297">
      <c r="A297" s="38"/>
      <c r="B297" s="38"/>
      <c r="C297" s="38"/>
      <c r="D297" s="38"/>
      <c r="E297" s="38"/>
      <c r="G297" s="38"/>
    </row>
    <row r="298">
      <c r="A298" s="38"/>
      <c r="B298" s="38"/>
      <c r="C298" s="38"/>
      <c r="D298" s="38"/>
      <c r="E298" s="38"/>
      <c r="G298" s="38"/>
    </row>
    <row r="299">
      <c r="A299" s="38"/>
      <c r="B299" s="38"/>
      <c r="C299" s="38"/>
      <c r="D299" s="38"/>
      <c r="E299" s="38"/>
      <c r="G299" s="38"/>
    </row>
    <row r="300">
      <c r="A300" s="38"/>
      <c r="B300" s="38"/>
      <c r="C300" s="38"/>
      <c r="D300" s="38"/>
      <c r="E300" s="38"/>
      <c r="G300" s="38"/>
    </row>
    <row r="301">
      <c r="A301" s="38"/>
      <c r="B301" s="38"/>
      <c r="C301" s="38"/>
      <c r="D301" s="38"/>
      <c r="E301" s="38"/>
      <c r="G301" s="38"/>
    </row>
    <row r="302">
      <c r="A302" s="38"/>
      <c r="B302" s="38"/>
      <c r="C302" s="38"/>
      <c r="D302" s="38"/>
      <c r="E302" s="38"/>
      <c r="G302" s="38"/>
    </row>
    <row r="303">
      <c r="A303" s="38"/>
      <c r="B303" s="38"/>
      <c r="C303" s="38"/>
      <c r="D303" s="38"/>
      <c r="E303" s="38"/>
      <c r="G303" s="38"/>
    </row>
    <row r="304">
      <c r="A304" s="38"/>
      <c r="B304" s="38"/>
      <c r="C304" s="38"/>
      <c r="D304" s="38"/>
      <c r="E304" s="38"/>
      <c r="G304" s="38"/>
    </row>
    <row r="305">
      <c r="A305" s="38"/>
      <c r="B305" s="38"/>
      <c r="C305" s="38"/>
      <c r="D305" s="38"/>
      <c r="E305" s="38"/>
      <c r="G305" s="38"/>
    </row>
    <row r="306">
      <c r="A306" s="38"/>
      <c r="B306" s="38"/>
      <c r="C306" s="38"/>
      <c r="D306" s="38"/>
      <c r="E306" s="38"/>
      <c r="G306" s="38"/>
    </row>
    <row r="307">
      <c r="A307" s="38"/>
      <c r="B307" s="38"/>
      <c r="C307" s="38"/>
      <c r="D307" s="38"/>
      <c r="E307" s="38"/>
      <c r="G307" s="38"/>
    </row>
    <row r="308">
      <c r="A308" s="38"/>
      <c r="B308" s="38"/>
      <c r="C308" s="38"/>
      <c r="D308" s="38"/>
      <c r="E308" s="38"/>
      <c r="G308" s="38"/>
    </row>
    <row r="309">
      <c r="A309" s="38"/>
      <c r="B309" s="38"/>
      <c r="C309" s="38"/>
      <c r="D309" s="38"/>
      <c r="E309" s="38"/>
      <c r="G309" s="38"/>
    </row>
    <row r="310">
      <c r="A310" s="38"/>
      <c r="B310" s="38"/>
      <c r="C310" s="38"/>
      <c r="D310" s="38"/>
      <c r="E310" s="38"/>
      <c r="G310" s="38"/>
    </row>
    <row r="311">
      <c r="A311" s="38"/>
      <c r="B311" s="38"/>
      <c r="C311" s="38"/>
      <c r="D311" s="38"/>
      <c r="E311" s="38"/>
      <c r="G311" s="38"/>
    </row>
    <row r="312">
      <c r="A312" s="38"/>
      <c r="B312" s="38"/>
      <c r="C312" s="38"/>
      <c r="D312" s="38"/>
      <c r="E312" s="38"/>
      <c r="G312" s="38"/>
    </row>
    <row r="313">
      <c r="A313" s="38"/>
      <c r="B313" s="38"/>
      <c r="C313" s="38"/>
      <c r="D313" s="38"/>
      <c r="E313" s="38"/>
      <c r="G313" s="38"/>
    </row>
    <row r="314">
      <c r="A314" s="38"/>
      <c r="B314" s="38"/>
      <c r="C314" s="38"/>
      <c r="D314" s="38"/>
      <c r="E314" s="38"/>
      <c r="G314" s="38"/>
    </row>
    <row r="315">
      <c r="A315" s="38"/>
      <c r="B315" s="38"/>
      <c r="C315" s="38"/>
      <c r="D315" s="38"/>
      <c r="E315" s="38"/>
      <c r="G315" s="38"/>
    </row>
    <row r="316">
      <c r="A316" s="38"/>
      <c r="B316" s="38"/>
      <c r="C316" s="38"/>
      <c r="D316" s="38"/>
      <c r="E316" s="38"/>
      <c r="G316" s="38"/>
    </row>
    <row r="317">
      <c r="A317" s="38"/>
      <c r="B317" s="38"/>
      <c r="C317" s="38"/>
      <c r="D317" s="38"/>
      <c r="E317" s="38"/>
      <c r="G317" s="38"/>
    </row>
    <row r="318">
      <c r="A318" s="38"/>
      <c r="B318" s="38"/>
      <c r="C318" s="38"/>
      <c r="D318" s="38"/>
      <c r="E318" s="38"/>
      <c r="G318" s="38"/>
    </row>
    <row r="319">
      <c r="A319" s="38"/>
      <c r="B319" s="38"/>
      <c r="C319" s="38"/>
      <c r="D319" s="38"/>
      <c r="E319" s="38"/>
      <c r="G319" s="38"/>
    </row>
    <row r="320">
      <c r="A320" s="38"/>
      <c r="B320" s="38"/>
      <c r="C320" s="38"/>
      <c r="D320" s="38"/>
      <c r="E320" s="38"/>
      <c r="G320" s="38"/>
    </row>
    <row r="321">
      <c r="A321" s="38"/>
      <c r="B321" s="38"/>
      <c r="C321" s="38"/>
      <c r="D321" s="38"/>
      <c r="E321" s="38"/>
      <c r="G321" s="38"/>
    </row>
    <row r="322">
      <c r="A322" s="38"/>
      <c r="B322" s="38"/>
      <c r="C322" s="38"/>
      <c r="D322" s="38"/>
      <c r="E322" s="38"/>
      <c r="G322" s="38"/>
    </row>
    <row r="323">
      <c r="A323" s="38"/>
      <c r="B323" s="38"/>
      <c r="C323" s="38"/>
      <c r="D323" s="38"/>
      <c r="E323" s="38"/>
      <c r="G323" s="38"/>
    </row>
    <row r="324">
      <c r="A324" s="38"/>
      <c r="B324" s="38"/>
      <c r="C324" s="38"/>
      <c r="D324" s="38"/>
      <c r="E324" s="38"/>
      <c r="G324" s="38"/>
    </row>
    <row r="325">
      <c r="A325" s="38"/>
      <c r="B325" s="38"/>
      <c r="C325" s="38"/>
      <c r="D325" s="38"/>
      <c r="E325" s="38"/>
      <c r="G325" s="38"/>
    </row>
    <row r="326">
      <c r="A326" s="38"/>
      <c r="B326" s="38"/>
      <c r="C326" s="38"/>
      <c r="D326" s="38"/>
      <c r="E326" s="38"/>
      <c r="G326" s="38"/>
    </row>
    <row r="327">
      <c r="A327" s="38"/>
      <c r="B327" s="38"/>
      <c r="C327" s="38"/>
      <c r="D327" s="38"/>
      <c r="E327" s="38"/>
      <c r="G327" s="38"/>
    </row>
    <row r="328">
      <c r="A328" s="38"/>
      <c r="B328" s="38"/>
      <c r="C328" s="38"/>
      <c r="D328" s="38"/>
      <c r="E328" s="38"/>
      <c r="G328" s="38"/>
    </row>
    <row r="329">
      <c r="A329" s="38"/>
      <c r="B329" s="38"/>
      <c r="C329" s="38"/>
      <c r="D329" s="38"/>
      <c r="E329" s="38"/>
      <c r="G329" s="38"/>
    </row>
    <row r="330">
      <c r="A330" s="38"/>
      <c r="B330" s="38"/>
      <c r="C330" s="38"/>
      <c r="D330" s="38"/>
      <c r="E330" s="38"/>
      <c r="G330" s="38"/>
    </row>
    <row r="331">
      <c r="A331" s="38"/>
      <c r="B331" s="38"/>
      <c r="C331" s="38"/>
      <c r="D331" s="38"/>
      <c r="E331" s="38"/>
      <c r="G331" s="38"/>
    </row>
    <row r="332">
      <c r="A332" s="38"/>
      <c r="B332" s="38"/>
      <c r="C332" s="38"/>
      <c r="D332" s="38"/>
      <c r="E332" s="38"/>
      <c r="G332" s="38"/>
    </row>
    <row r="333">
      <c r="A333" s="38"/>
      <c r="B333" s="38"/>
      <c r="C333" s="38"/>
      <c r="D333" s="38"/>
      <c r="E333" s="38"/>
      <c r="G333" s="38"/>
    </row>
    <row r="334">
      <c r="A334" s="38"/>
      <c r="B334" s="38"/>
      <c r="C334" s="38"/>
      <c r="D334" s="38"/>
      <c r="E334" s="38"/>
      <c r="G334" s="38"/>
    </row>
    <row r="335">
      <c r="A335" s="38"/>
      <c r="B335" s="38"/>
      <c r="C335" s="38"/>
      <c r="D335" s="38"/>
      <c r="E335" s="38"/>
      <c r="G335" s="38"/>
    </row>
    <row r="336">
      <c r="A336" s="38"/>
      <c r="B336" s="38"/>
      <c r="C336" s="38"/>
      <c r="D336" s="38"/>
      <c r="E336" s="38"/>
      <c r="G336" s="38"/>
    </row>
    <row r="337">
      <c r="A337" s="38"/>
      <c r="B337" s="38"/>
      <c r="C337" s="38"/>
      <c r="D337" s="38"/>
      <c r="E337" s="38"/>
      <c r="G337" s="38"/>
    </row>
    <row r="338">
      <c r="A338" s="38"/>
      <c r="B338" s="38"/>
      <c r="C338" s="38"/>
      <c r="D338" s="38"/>
      <c r="E338" s="38"/>
      <c r="G338" s="38"/>
    </row>
    <row r="339">
      <c r="A339" s="38"/>
      <c r="B339" s="38"/>
      <c r="C339" s="38"/>
      <c r="D339" s="38"/>
      <c r="E339" s="38"/>
      <c r="G339" s="38"/>
    </row>
    <row r="340">
      <c r="A340" s="38"/>
      <c r="B340" s="38"/>
      <c r="C340" s="38"/>
      <c r="D340" s="38"/>
      <c r="E340" s="38"/>
      <c r="G340" s="38"/>
    </row>
    <row r="341">
      <c r="A341" s="38"/>
      <c r="B341" s="38"/>
      <c r="C341" s="38"/>
      <c r="D341" s="38"/>
      <c r="E341" s="38"/>
      <c r="G341" s="38"/>
    </row>
    <row r="342">
      <c r="A342" s="38"/>
      <c r="B342" s="38"/>
      <c r="C342" s="38"/>
      <c r="D342" s="38"/>
      <c r="E342" s="38"/>
      <c r="G342" s="38"/>
    </row>
    <row r="343">
      <c r="A343" s="38"/>
      <c r="B343" s="38"/>
      <c r="C343" s="38"/>
      <c r="D343" s="38"/>
      <c r="E343" s="38"/>
      <c r="G343" s="38"/>
    </row>
    <row r="344">
      <c r="A344" s="38"/>
      <c r="B344" s="38"/>
      <c r="C344" s="38"/>
      <c r="D344" s="38"/>
      <c r="E344" s="38"/>
      <c r="G344" s="38"/>
    </row>
    <row r="345">
      <c r="A345" s="38"/>
      <c r="B345" s="38"/>
      <c r="C345" s="38"/>
      <c r="D345" s="38"/>
      <c r="E345" s="38"/>
      <c r="G345" s="38"/>
    </row>
    <row r="346">
      <c r="A346" s="38"/>
      <c r="B346" s="38"/>
      <c r="C346" s="38"/>
      <c r="D346" s="38"/>
      <c r="E346" s="38"/>
      <c r="G346" s="38"/>
    </row>
    <row r="347">
      <c r="A347" s="38"/>
      <c r="B347" s="38"/>
      <c r="C347" s="38"/>
      <c r="D347" s="38"/>
      <c r="E347" s="38"/>
      <c r="G347" s="38"/>
    </row>
    <row r="348">
      <c r="A348" s="38"/>
      <c r="B348" s="38"/>
      <c r="C348" s="38"/>
      <c r="D348" s="38"/>
      <c r="E348" s="38"/>
      <c r="G348" s="38"/>
    </row>
    <row r="349">
      <c r="A349" s="38"/>
      <c r="B349" s="38"/>
      <c r="C349" s="38"/>
      <c r="D349" s="38"/>
      <c r="E349" s="38"/>
      <c r="G349" s="38"/>
    </row>
    <row r="350">
      <c r="A350" s="38"/>
      <c r="B350" s="38"/>
      <c r="C350" s="38"/>
      <c r="D350" s="38"/>
      <c r="E350" s="38"/>
      <c r="G350" s="38"/>
    </row>
    <row r="351">
      <c r="A351" s="38"/>
      <c r="B351" s="38"/>
      <c r="C351" s="38"/>
      <c r="D351" s="38"/>
      <c r="E351" s="38"/>
      <c r="G351" s="38"/>
    </row>
    <row r="352">
      <c r="A352" s="38"/>
      <c r="B352" s="38"/>
      <c r="C352" s="38"/>
      <c r="D352" s="38"/>
      <c r="E352" s="38"/>
      <c r="G352" s="38"/>
    </row>
    <row r="353">
      <c r="A353" s="38"/>
      <c r="B353" s="38"/>
      <c r="C353" s="38"/>
      <c r="D353" s="38"/>
      <c r="E353" s="38"/>
      <c r="G353" s="38"/>
    </row>
    <row r="354">
      <c r="A354" s="38"/>
      <c r="B354" s="38"/>
      <c r="C354" s="38"/>
      <c r="D354" s="38"/>
      <c r="E354" s="38"/>
      <c r="G354" s="38"/>
    </row>
    <row r="355">
      <c r="A355" s="38"/>
      <c r="B355" s="38"/>
      <c r="C355" s="38"/>
      <c r="D355" s="38"/>
      <c r="E355" s="38"/>
      <c r="G355" s="38"/>
    </row>
    <row r="356">
      <c r="A356" s="38"/>
      <c r="B356" s="38"/>
      <c r="C356" s="38"/>
      <c r="D356" s="38"/>
      <c r="E356" s="38"/>
      <c r="G356" s="38"/>
    </row>
    <row r="357">
      <c r="A357" s="38"/>
      <c r="B357" s="38"/>
      <c r="C357" s="38"/>
      <c r="D357" s="38"/>
      <c r="E357" s="38"/>
      <c r="G357" s="38"/>
    </row>
    <row r="358">
      <c r="A358" s="38"/>
      <c r="B358" s="38"/>
      <c r="C358" s="38"/>
      <c r="D358" s="38"/>
      <c r="E358" s="38"/>
      <c r="G358" s="38"/>
    </row>
    <row r="359">
      <c r="A359" s="38"/>
      <c r="B359" s="38"/>
      <c r="C359" s="38"/>
      <c r="D359" s="38"/>
      <c r="E359" s="38"/>
      <c r="G359" s="38"/>
    </row>
    <row r="360">
      <c r="A360" s="38"/>
      <c r="B360" s="38"/>
      <c r="C360" s="38"/>
      <c r="D360" s="38"/>
      <c r="E360" s="38"/>
      <c r="G360" s="38"/>
    </row>
    <row r="361">
      <c r="A361" s="38"/>
      <c r="B361" s="38"/>
      <c r="C361" s="38"/>
      <c r="D361" s="38"/>
      <c r="E361" s="38"/>
      <c r="G361" s="38"/>
    </row>
    <row r="362">
      <c r="A362" s="38"/>
      <c r="B362" s="38"/>
      <c r="C362" s="38"/>
      <c r="D362" s="38"/>
      <c r="E362" s="38"/>
      <c r="G362" s="38"/>
    </row>
    <row r="363">
      <c r="A363" s="38"/>
      <c r="B363" s="38"/>
      <c r="C363" s="38"/>
      <c r="D363" s="38"/>
      <c r="E363" s="38"/>
      <c r="G363" s="38"/>
    </row>
    <row r="364">
      <c r="A364" s="38"/>
      <c r="B364" s="38"/>
      <c r="C364" s="38"/>
      <c r="D364" s="38"/>
      <c r="E364" s="38"/>
      <c r="G364" s="38"/>
    </row>
    <row r="365">
      <c r="A365" s="38"/>
      <c r="B365" s="38"/>
      <c r="C365" s="38"/>
      <c r="D365" s="38"/>
      <c r="E365" s="38"/>
      <c r="G365" s="38"/>
    </row>
    <row r="366">
      <c r="A366" s="38"/>
      <c r="B366" s="38"/>
      <c r="C366" s="38"/>
      <c r="D366" s="38"/>
      <c r="E366" s="38"/>
      <c r="G366" s="38"/>
    </row>
    <row r="367">
      <c r="A367" s="38"/>
      <c r="B367" s="38"/>
      <c r="C367" s="38"/>
      <c r="D367" s="38"/>
      <c r="E367" s="38"/>
      <c r="G367" s="38"/>
    </row>
    <row r="368">
      <c r="A368" s="38"/>
      <c r="B368" s="38"/>
      <c r="C368" s="38"/>
      <c r="D368" s="38"/>
      <c r="E368" s="38"/>
      <c r="G368" s="38"/>
    </row>
    <row r="369">
      <c r="A369" s="38"/>
      <c r="B369" s="38"/>
      <c r="C369" s="38"/>
      <c r="D369" s="38"/>
      <c r="E369" s="38"/>
      <c r="G369" s="38"/>
    </row>
    <row r="370">
      <c r="A370" s="38"/>
      <c r="B370" s="38"/>
      <c r="C370" s="38"/>
      <c r="D370" s="38"/>
      <c r="E370" s="38"/>
      <c r="G370" s="38"/>
    </row>
    <row r="371">
      <c r="A371" s="38"/>
      <c r="B371" s="38"/>
      <c r="C371" s="38"/>
      <c r="D371" s="38"/>
      <c r="E371" s="38"/>
      <c r="G371" s="38"/>
    </row>
    <row r="372">
      <c r="A372" s="38"/>
      <c r="B372" s="38"/>
      <c r="C372" s="38"/>
      <c r="D372" s="38"/>
      <c r="E372" s="38"/>
      <c r="G372" s="38"/>
    </row>
    <row r="373">
      <c r="A373" s="38"/>
      <c r="B373" s="38"/>
      <c r="C373" s="38"/>
      <c r="D373" s="38"/>
      <c r="E373" s="38"/>
      <c r="G373" s="38"/>
    </row>
    <row r="374">
      <c r="A374" s="38"/>
      <c r="B374" s="38"/>
      <c r="C374" s="38"/>
      <c r="D374" s="38"/>
      <c r="E374" s="38"/>
      <c r="G374" s="38"/>
    </row>
    <row r="375">
      <c r="A375" s="38"/>
      <c r="B375" s="38"/>
      <c r="C375" s="38"/>
      <c r="D375" s="38"/>
      <c r="E375" s="38"/>
      <c r="G375" s="38"/>
    </row>
    <row r="376">
      <c r="A376" s="38"/>
      <c r="B376" s="38"/>
      <c r="C376" s="38"/>
      <c r="D376" s="38"/>
      <c r="E376" s="38"/>
      <c r="G376" s="38"/>
    </row>
    <row r="377">
      <c r="A377" s="38"/>
      <c r="B377" s="38"/>
      <c r="C377" s="38"/>
      <c r="D377" s="38"/>
      <c r="E377" s="38"/>
      <c r="G377" s="38"/>
    </row>
    <row r="378">
      <c r="A378" s="38"/>
      <c r="B378" s="38"/>
      <c r="C378" s="38"/>
      <c r="D378" s="38"/>
      <c r="E378" s="38"/>
      <c r="G378" s="38"/>
    </row>
    <row r="379">
      <c r="A379" s="38"/>
      <c r="B379" s="38"/>
      <c r="C379" s="38"/>
      <c r="D379" s="38"/>
      <c r="E379" s="38"/>
      <c r="G379" s="38"/>
    </row>
    <row r="380">
      <c r="A380" s="38"/>
      <c r="B380" s="38"/>
      <c r="C380" s="38"/>
      <c r="D380" s="38"/>
      <c r="E380" s="38"/>
      <c r="G380" s="38"/>
    </row>
    <row r="381">
      <c r="A381" s="38"/>
      <c r="B381" s="38"/>
      <c r="C381" s="38"/>
      <c r="D381" s="38"/>
      <c r="E381" s="38"/>
      <c r="G381" s="38"/>
    </row>
    <row r="382">
      <c r="A382" s="38"/>
      <c r="B382" s="38"/>
      <c r="C382" s="38"/>
      <c r="D382" s="38"/>
      <c r="E382" s="38"/>
      <c r="G382" s="38"/>
    </row>
    <row r="383">
      <c r="A383" s="38"/>
      <c r="B383" s="38"/>
      <c r="C383" s="38"/>
      <c r="D383" s="38"/>
      <c r="E383" s="38"/>
      <c r="G383" s="38"/>
    </row>
    <row r="384">
      <c r="A384" s="38"/>
      <c r="B384" s="38"/>
      <c r="C384" s="38"/>
      <c r="D384" s="38"/>
      <c r="E384" s="38"/>
      <c r="G384" s="38"/>
    </row>
    <row r="385">
      <c r="A385" s="38"/>
      <c r="B385" s="38"/>
      <c r="C385" s="38"/>
      <c r="D385" s="38"/>
      <c r="E385" s="38"/>
      <c r="G385" s="38"/>
    </row>
    <row r="386">
      <c r="A386" s="38"/>
      <c r="B386" s="38"/>
      <c r="C386" s="38"/>
      <c r="D386" s="38"/>
      <c r="E386" s="38"/>
      <c r="G386" s="38"/>
    </row>
    <row r="387">
      <c r="A387" s="38"/>
      <c r="B387" s="38"/>
      <c r="C387" s="38"/>
      <c r="D387" s="38"/>
      <c r="E387" s="38"/>
      <c r="G387" s="38"/>
    </row>
    <row r="388">
      <c r="A388" s="38"/>
      <c r="B388" s="38"/>
      <c r="C388" s="38"/>
      <c r="D388" s="38"/>
      <c r="E388" s="38"/>
      <c r="G388" s="38"/>
    </row>
    <row r="389">
      <c r="A389" s="38"/>
      <c r="B389" s="38"/>
      <c r="C389" s="38"/>
      <c r="D389" s="38"/>
      <c r="E389" s="38"/>
      <c r="G389" s="38"/>
    </row>
    <row r="390">
      <c r="A390" s="38"/>
      <c r="B390" s="38"/>
      <c r="C390" s="38"/>
      <c r="D390" s="38"/>
      <c r="E390" s="38"/>
      <c r="G390" s="38"/>
    </row>
    <row r="391">
      <c r="A391" s="38"/>
      <c r="B391" s="38"/>
      <c r="C391" s="38"/>
      <c r="D391" s="38"/>
      <c r="E391" s="38"/>
      <c r="G391" s="38"/>
    </row>
    <row r="392">
      <c r="A392" s="38"/>
      <c r="B392" s="38"/>
      <c r="C392" s="38"/>
      <c r="D392" s="38"/>
      <c r="E392" s="38"/>
      <c r="G392" s="38"/>
    </row>
    <row r="393">
      <c r="A393" s="38"/>
      <c r="B393" s="38"/>
      <c r="C393" s="38"/>
      <c r="D393" s="38"/>
      <c r="E393" s="38"/>
      <c r="G393" s="38"/>
    </row>
    <row r="394">
      <c r="A394" s="38"/>
      <c r="B394" s="38"/>
      <c r="C394" s="38"/>
      <c r="D394" s="38"/>
      <c r="E394" s="38"/>
      <c r="G394" s="38"/>
    </row>
    <row r="395">
      <c r="A395" s="38"/>
      <c r="B395" s="38"/>
      <c r="C395" s="38"/>
      <c r="D395" s="38"/>
      <c r="E395" s="38"/>
      <c r="G395" s="38"/>
    </row>
    <row r="396">
      <c r="A396" s="38"/>
      <c r="B396" s="38"/>
      <c r="C396" s="38"/>
      <c r="D396" s="38"/>
      <c r="E396" s="38"/>
      <c r="G396" s="38"/>
    </row>
    <row r="397">
      <c r="A397" s="38"/>
      <c r="B397" s="38"/>
      <c r="C397" s="38"/>
      <c r="D397" s="38"/>
      <c r="E397" s="38"/>
      <c r="G397" s="38"/>
    </row>
    <row r="398">
      <c r="A398" s="38"/>
      <c r="B398" s="38"/>
      <c r="C398" s="38"/>
      <c r="D398" s="38"/>
      <c r="E398" s="38"/>
      <c r="G398" s="38"/>
    </row>
    <row r="399">
      <c r="A399" s="38"/>
      <c r="B399" s="38"/>
      <c r="C399" s="38"/>
      <c r="D399" s="38"/>
      <c r="E399" s="38"/>
      <c r="G399" s="38"/>
    </row>
    <row r="400">
      <c r="A400" s="38"/>
      <c r="B400" s="38"/>
      <c r="C400" s="38"/>
      <c r="D400" s="38"/>
      <c r="E400" s="38"/>
      <c r="G400" s="38"/>
    </row>
    <row r="401">
      <c r="A401" s="38"/>
      <c r="B401" s="38"/>
      <c r="C401" s="38"/>
      <c r="D401" s="38"/>
      <c r="E401" s="38"/>
      <c r="G401" s="38"/>
    </row>
    <row r="402">
      <c r="A402" s="38"/>
      <c r="B402" s="38"/>
      <c r="C402" s="38"/>
      <c r="D402" s="38"/>
      <c r="E402" s="38"/>
      <c r="G402" s="38"/>
    </row>
    <row r="403">
      <c r="A403" s="38"/>
      <c r="B403" s="38"/>
      <c r="C403" s="38"/>
      <c r="D403" s="38"/>
      <c r="E403" s="38"/>
      <c r="G403" s="38"/>
    </row>
    <row r="404">
      <c r="A404" s="38"/>
      <c r="B404" s="38"/>
      <c r="C404" s="38"/>
      <c r="D404" s="38"/>
      <c r="E404" s="38"/>
      <c r="G404" s="38"/>
    </row>
    <row r="405">
      <c r="A405" s="38"/>
      <c r="B405" s="38"/>
      <c r="C405" s="38"/>
      <c r="D405" s="38"/>
      <c r="E405" s="38"/>
      <c r="G405" s="38"/>
    </row>
    <row r="406">
      <c r="A406" s="38"/>
      <c r="B406" s="38"/>
      <c r="C406" s="38"/>
      <c r="D406" s="38"/>
      <c r="E406" s="38"/>
      <c r="G406" s="38"/>
    </row>
    <row r="407">
      <c r="A407" s="38"/>
      <c r="B407" s="38"/>
      <c r="C407" s="38"/>
      <c r="D407" s="38"/>
      <c r="E407" s="38"/>
      <c r="G407" s="38"/>
    </row>
    <row r="408">
      <c r="A408" s="38"/>
      <c r="B408" s="38"/>
      <c r="C408" s="38"/>
      <c r="D408" s="38"/>
      <c r="E408" s="38"/>
      <c r="G408" s="38"/>
    </row>
    <row r="409">
      <c r="A409" s="38"/>
      <c r="B409" s="38"/>
      <c r="C409" s="38"/>
      <c r="D409" s="38"/>
      <c r="E409" s="38"/>
      <c r="G409" s="38"/>
    </row>
    <row r="410">
      <c r="A410" s="38"/>
      <c r="B410" s="38"/>
      <c r="C410" s="38"/>
      <c r="D410" s="38"/>
      <c r="E410" s="38"/>
      <c r="G410" s="38"/>
    </row>
    <row r="411">
      <c r="A411" s="38"/>
      <c r="B411" s="38"/>
      <c r="C411" s="38"/>
      <c r="D411" s="38"/>
      <c r="E411" s="38"/>
      <c r="G411" s="38"/>
    </row>
    <row r="412">
      <c r="A412" s="38"/>
      <c r="B412" s="38"/>
      <c r="C412" s="38"/>
      <c r="D412" s="38"/>
      <c r="E412" s="38"/>
      <c r="G412" s="38"/>
    </row>
    <row r="413">
      <c r="A413" s="38"/>
      <c r="B413" s="38"/>
      <c r="C413" s="38"/>
      <c r="D413" s="38"/>
      <c r="E413" s="38"/>
      <c r="G413" s="38"/>
    </row>
    <row r="414">
      <c r="A414" s="38"/>
      <c r="B414" s="38"/>
      <c r="C414" s="38"/>
      <c r="D414" s="38"/>
      <c r="E414" s="38"/>
      <c r="G414" s="38"/>
    </row>
    <row r="415">
      <c r="A415" s="38"/>
      <c r="B415" s="38"/>
      <c r="C415" s="38"/>
      <c r="D415" s="38"/>
      <c r="E415" s="38"/>
      <c r="G415" s="38"/>
    </row>
    <row r="416">
      <c r="A416" s="38"/>
      <c r="B416" s="38"/>
      <c r="C416" s="38"/>
      <c r="D416" s="38"/>
      <c r="E416" s="38"/>
      <c r="G416" s="38"/>
    </row>
    <row r="417">
      <c r="A417" s="38"/>
      <c r="B417" s="38"/>
      <c r="C417" s="38"/>
      <c r="D417" s="38"/>
      <c r="E417" s="38"/>
      <c r="G417" s="38"/>
    </row>
    <row r="418">
      <c r="A418" s="38"/>
      <c r="B418" s="38"/>
      <c r="C418" s="38"/>
      <c r="D418" s="38"/>
      <c r="E418" s="38"/>
      <c r="G418" s="38"/>
    </row>
    <row r="419">
      <c r="A419" s="38"/>
      <c r="B419" s="38"/>
      <c r="C419" s="38"/>
      <c r="D419" s="38"/>
      <c r="E419" s="38"/>
      <c r="G419" s="38"/>
    </row>
    <row r="420">
      <c r="A420" s="38"/>
      <c r="B420" s="38"/>
      <c r="C420" s="38"/>
      <c r="D420" s="38"/>
      <c r="E420" s="38"/>
      <c r="G420" s="38"/>
    </row>
    <row r="421">
      <c r="A421" s="38"/>
      <c r="B421" s="38"/>
      <c r="C421" s="38"/>
      <c r="D421" s="38"/>
      <c r="E421" s="38"/>
      <c r="G421" s="38"/>
    </row>
    <row r="422">
      <c r="A422" s="38"/>
      <c r="B422" s="38"/>
      <c r="C422" s="38"/>
      <c r="D422" s="38"/>
      <c r="E422" s="38"/>
      <c r="G422" s="38"/>
    </row>
    <row r="423">
      <c r="A423" s="38"/>
      <c r="B423" s="38"/>
      <c r="C423" s="38"/>
      <c r="D423" s="38"/>
      <c r="E423" s="38"/>
      <c r="G423" s="38"/>
    </row>
    <row r="424">
      <c r="A424" s="38"/>
      <c r="B424" s="38"/>
      <c r="C424" s="38"/>
      <c r="D424" s="38"/>
      <c r="E424" s="38"/>
      <c r="G424" s="38"/>
    </row>
    <row r="425">
      <c r="A425" s="38"/>
      <c r="B425" s="38"/>
      <c r="C425" s="38"/>
      <c r="D425" s="38"/>
      <c r="E425" s="38"/>
      <c r="G425" s="38"/>
    </row>
    <row r="426">
      <c r="A426" s="38"/>
      <c r="B426" s="38"/>
      <c r="C426" s="38"/>
      <c r="D426" s="38"/>
      <c r="E426" s="38"/>
      <c r="G426" s="38"/>
    </row>
    <row r="427">
      <c r="A427" s="38"/>
      <c r="B427" s="38"/>
      <c r="C427" s="38"/>
      <c r="D427" s="38"/>
      <c r="E427" s="38"/>
      <c r="G427" s="38"/>
    </row>
    <row r="428">
      <c r="A428" s="38"/>
      <c r="B428" s="38"/>
      <c r="C428" s="38"/>
      <c r="D428" s="38"/>
      <c r="E428" s="38"/>
      <c r="G428" s="38"/>
    </row>
    <row r="429">
      <c r="A429" s="38"/>
      <c r="B429" s="38"/>
      <c r="C429" s="38"/>
      <c r="D429" s="38"/>
      <c r="E429" s="38"/>
      <c r="G429" s="38"/>
    </row>
    <row r="430">
      <c r="A430" s="38"/>
      <c r="B430" s="38"/>
      <c r="C430" s="38"/>
      <c r="D430" s="38"/>
      <c r="E430" s="38"/>
      <c r="G430" s="38"/>
    </row>
    <row r="431">
      <c r="A431" s="38"/>
      <c r="B431" s="38"/>
      <c r="C431" s="38"/>
      <c r="D431" s="38"/>
      <c r="E431" s="38"/>
      <c r="G431" s="38"/>
    </row>
    <row r="432">
      <c r="A432" s="38"/>
      <c r="B432" s="38"/>
      <c r="C432" s="38"/>
      <c r="D432" s="38"/>
      <c r="E432" s="38"/>
      <c r="G432" s="38"/>
    </row>
    <row r="433">
      <c r="A433" s="38"/>
      <c r="B433" s="38"/>
      <c r="C433" s="38"/>
      <c r="D433" s="38"/>
      <c r="E433" s="38"/>
      <c r="G433" s="38"/>
    </row>
    <row r="434">
      <c r="A434" s="38"/>
      <c r="B434" s="38"/>
      <c r="C434" s="38"/>
      <c r="D434" s="38"/>
      <c r="E434" s="38"/>
      <c r="G434" s="38"/>
    </row>
    <row r="435">
      <c r="A435" s="38"/>
      <c r="B435" s="38"/>
      <c r="C435" s="38"/>
      <c r="D435" s="38"/>
      <c r="E435" s="38"/>
      <c r="G435" s="38"/>
    </row>
    <row r="436">
      <c r="A436" s="38"/>
      <c r="B436" s="38"/>
      <c r="C436" s="38"/>
      <c r="D436" s="38"/>
      <c r="E436" s="38"/>
      <c r="G436" s="38"/>
    </row>
    <row r="437">
      <c r="A437" s="38"/>
      <c r="B437" s="38"/>
      <c r="C437" s="38"/>
      <c r="D437" s="38"/>
      <c r="E437" s="38"/>
      <c r="G437" s="38"/>
    </row>
    <row r="438">
      <c r="A438" s="38"/>
      <c r="B438" s="38"/>
      <c r="C438" s="38"/>
      <c r="D438" s="38"/>
      <c r="E438" s="38"/>
      <c r="G438" s="38"/>
    </row>
    <row r="439">
      <c r="A439" s="38"/>
      <c r="B439" s="38"/>
      <c r="C439" s="38"/>
      <c r="D439" s="38"/>
      <c r="E439" s="38"/>
      <c r="G439" s="38"/>
    </row>
    <row r="440">
      <c r="A440" s="38"/>
      <c r="B440" s="38"/>
      <c r="C440" s="38"/>
      <c r="D440" s="38"/>
      <c r="E440" s="38"/>
      <c r="G440" s="38"/>
    </row>
    <row r="441">
      <c r="A441" s="38"/>
      <c r="B441" s="38"/>
      <c r="C441" s="38"/>
      <c r="D441" s="38"/>
      <c r="E441" s="38"/>
      <c r="G441" s="38"/>
    </row>
    <row r="442">
      <c r="A442" s="38"/>
      <c r="B442" s="38"/>
      <c r="C442" s="38"/>
      <c r="D442" s="38"/>
      <c r="E442" s="38"/>
      <c r="G442" s="38"/>
    </row>
    <row r="443">
      <c r="A443" s="38"/>
      <c r="B443" s="38"/>
      <c r="C443" s="38"/>
      <c r="D443" s="38"/>
      <c r="E443" s="38"/>
      <c r="G443" s="38"/>
    </row>
    <row r="444">
      <c r="A444" s="38"/>
      <c r="B444" s="38"/>
      <c r="C444" s="38"/>
      <c r="D444" s="38"/>
      <c r="E444" s="38"/>
      <c r="G444" s="38"/>
    </row>
    <row r="445">
      <c r="A445" s="38"/>
      <c r="B445" s="38"/>
      <c r="C445" s="38"/>
      <c r="D445" s="38"/>
      <c r="E445" s="38"/>
      <c r="G445" s="38"/>
    </row>
    <row r="446">
      <c r="A446" s="38"/>
      <c r="B446" s="38"/>
      <c r="C446" s="38"/>
      <c r="D446" s="38"/>
      <c r="E446" s="38"/>
      <c r="G446" s="38"/>
    </row>
    <row r="447">
      <c r="A447" s="38"/>
      <c r="B447" s="38"/>
      <c r="C447" s="38"/>
      <c r="D447" s="38"/>
      <c r="E447" s="38"/>
      <c r="G447" s="38"/>
    </row>
    <row r="448">
      <c r="A448" s="38"/>
      <c r="B448" s="38"/>
      <c r="C448" s="38"/>
      <c r="D448" s="38"/>
      <c r="E448" s="38"/>
      <c r="G448" s="38"/>
    </row>
    <row r="449">
      <c r="A449" s="38"/>
      <c r="B449" s="38"/>
      <c r="C449" s="38"/>
      <c r="D449" s="38"/>
      <c r="E449" s="38"/>
      <c r="G449" s="38"/>
    </row>
    <row r="450">
      <c r="A450" s="38"/>
      <c r="B450" s="38"/>
      <c r="C450" s="38"/>
      <c r="D450" s="38"/>
      <c r="E450" s="38"/>
      <c r="G450" s="38"/>
    </row>
    <row r="451">
      <c r="A451" s="38"/>
      <c r="B451" s="38"/>
      <c r="C451" s="38"/>
      <c r="D451" s="38"/>
      <c r="E451" s="38"/>
      <c r="G451" s="38"/>
    </row>
    <row r="452">
      <c r="A452" s="38"/>
      <c r="B452" s="38"/>
      <c r="C452" s="38"/>
      <c r="D452" s="38"/>
      <c r="E452" s="38"/>
      <c r="G452" s="38"/>
    </row>
    <row r="453">
      <c r="A453" s="38"/>
      <c r="B453" s="38"/>
      <c r="C453" s="38"/>
      <c r="D453" s="38"/>
      <c r="E453" s="38"/>
      <c r="G453" s="38"/>
    </row>
    <row r="454">
      <c r="A454" s="38"/>
      <c r="B454" s="38"/>
      <c r="C454" s="38"/>
      <c r="D454" s="38"/>
      <c r="E454" s="38"/>
      <c r="G454" s="38"/>
    </row>
    <row r="455">
      <c r="A455" s="38"/>
      <c r="B455" s="38"/>
      <c r="C455" s="38"/>
      <c r="D455" s="38"/>
      <c r="E455" s="38"/>
      <c r="G455" s="38"/>
    </row>
    <row r="456">
      <c r="A456" s="38"/>
      <c r="B456" s="38"/>
      <c r="C456" s="38"/>
      <c r="D456" s="38"/>
      <c r="E456" s="38"/>
      <c r="G456" s="38"/>
    </row>
    <row r="457">
      <c r="A457" s="38"/>
      <c r="B457" s="38"/>
      <c r="C457" s="38"/>
      <c r="D457" s="38"/>
      <c r="E457" s="38"/>
      <c r="G457" s="38"/>
    </row>
    <row r="458">
      <c r="A458" s="38"/>
      <c r="B458" s="38"/>
      <c r="C458" s="38"/>
      <c r="D458" s="38"/>
      <c r="E458" s="38"/>
      <c r="G458" s="38"/>
    </row>
    <row r="459">
      <c r="A459" s="38"/>
      <c r="B459" s="38"/>
      <c r="C459" s="38"/>
      <c r="D459" s="38"/>
      <c r="E459" s="38"/>
      <c r="G459" s="38"/>
    </row>
    <row r="460">
      <c r="A460" s="38"/>
      <c r="B460" s="38"/>
      <c r="C460" s="38"/>
      <c r="D460" s="38"/>
      <c r="E460" s="38"/>
      <c r="G460" s="38"/>
    </row>
    <row r="461">
      <c r="A461" s="38"/>
      <c r="B461" s="38"/>
      <c r="C461" s="38"/>
      <c r="D461" s="38"/>
      <c r="E461" s="38"/>
      <c r="G461" s="38"/>
    </row>
    <row r="462">
      <c r="A462" s="38"/>
      <c r="B462" s="38"/>
      <c r="C462" s="38"/>
      <c r="D462" s="38"/>
      <c r="E462" s="38"/>
      <c r="G462" s="38"/>
    </row>
    <row r="463">
      <c r="A463" s="38"/>
      <c r="B463" s="38"/>
      <c r="C463" s="38"/>
      <c r="D463" s="38"/>
      <c r="E463" s="38"/>
      <c r="G463" s="38"/>
    </row>
    <row r="464">
      <c r="A464" s="38"/>
      <c r="B464" s="38"/>
      <c r="C464" s="38"/>
      <c r="D464" s="38"/>
      <c r="E464" s="38"/>
      <c r="G464" s="38"/>
    </row>
    <row r="465">
      <c r="A465" s="38"/>
      <c r="B465" s="38"/>
      <c r="C465" s="38"/>
      <c r="D465" s="38"/>
      <c r="E465" s="38"/>
      <c r="G465" s="38"/>
    </row>
    <row r="466">
      <c r="A466" s="38"/>
      <c r="B466" s="38"/>
      <c r="C466" s="38"/>
      <c r="D466" s="38"/>
      <c r="E466" s="38"/>
      <c r="G466" s="38"/>
    </row>
    <row r="467">
      <c r="A467" s="38"/>
      <c r="B467" s="38"/>
      <c r="C467" s="38"/>
      <c r="D467" s="38"/>
      <c r="E467" s="38"/>
      <c r="G467" s="38"/>
    </row>
    <row r="468">
      <c r="A468" s="38"/>
      <c r="B468" s="38"/>
      <c r="C468" s="38"/>
      <c r="D468" s="38"/>
      <c r="E468" s="38"/>
      <c r="G468" s="38"/>
    </row>
    <row r="469">
      <c r="A469" s="38"/>
      <c r="B469" s="38"/>
      <c r="C469" s="38"/>
      <c r="D469" s="38"/>
      <c r="E469" s="38"/>
      <c r="G469" s="38"/>
    </row>
    <row r="470">
      <c r="A470" s="38"/>
      <c r="B470" s="38"/>
      <c r="C470" s="38"/>
      <c r="D470" s="38"/>
      <c r="E470" s="38"/>
      <c r="G470" s="38"/>
    </row>
    <row r="471">
      <c r="A471" s="38"/>
      <c r="B471" s="38"/>
      <c r="C471" s="38"/>
      <c r="D471" s="38"/>
      <c r="E471" s="38"/>
      <c r="G471" s="38"/>
    </row>
    <row r="472">
      <c r="A472" s="38"/>
      <c r="B472" s="38"/>
      <c r="C472" s="38"/>
      <c r="D472" s="38"/>
      <c r="E472" s="38"/>
      <c r="G472" s="38"/>
    </row>
    <row r="473">
      <c r="A473" s="38"/>
      <c r="B473" s="38"/>
      <c r="C473" s="38"/>
      <c r="D473" s="38"/>
      <c r="E473" s="38"/>
      <c r="G473" s="38"/>
    </row>
    <row r="474">
      <c r="A474" s="38"/>
      <c r="B474" s="38"/>
      <c r="C474" s="38"/>
      <c r="D474" s="38"/>
      <c r="E474" s="38"/>
      <c r="G474" s="38"/>
    </row>
    <row r="475">
      <c r="A475" s="38"/>
      <c r="B475" s="38"/>
      <c r="C475" s="38"/>
      <c r="D475" s="38"/>
      <c r="E475" s="38"/>
      <c r="G475" s="38"/>
    </row>
    <row r="476">
      <c r="A476" s="38"/>
      <c r="B476" s="38"/>
      <c r="C476" s="38"/>
      <c r="D476" s="38"/>
      <c r="E476" s="38"/>
      <c r="G476" s="38"/>
    </row>
    <row r="477">
      <c r="A477" s="38"/>
      <c r="B477" s="38"/>
      <c r="C477" s="38"/>
      <c r="D477" s="38"/>
      <c r="E477" s="38"/>
      <c r="G477" s="38"/>
    </row>
    <row r="478">
      <c r="A478" s="38"/>
      <c r="B478" s="38"/>
      <c r="C478" s="38"/>
      <c r="D478" s="38"/>
      <c r="E478" s="38"/>
      <c r="G478" s="38"/>
    </row>
    <row r="479">
      <c r="A479" s="38"/>
      <c r="B479" s="38"/>
      <c r="C479" s="38"/>
      <c r="D479" s="38"/>
      <c r="E479" s="38"/>
      <c r="G479" s="38"/>
    </row>
    <row r="480">
      <c r="A480" s="38"/>
      <c r="B480" s="38"/>
      <c r="C480" s="38"/>
      <c r="D480" s="38"/>
      <c r="E480" s="38"/>
      <c r="G480" s="38"/>
    </row>
    <row r="481">
      <c r="A481" s="38"/>
      <c r="B481" s="38"/>
      <c r="C481" s="38"/>
      <c r="D481" s="38"/>
      <c r="E481" s="38"/>
      <c r="G481" s="38"/>
    </row>
    <row r="482">
      <c r="A482" s="38"/>
      <c r="B482" s="38"/>
      <c r="C482" s="38"/>
      <c r="D482" s="38"/>
      <c r="E482" s="38"/>
      <c r="G482" s="38"/>
    </row>
    <row r="483">
      <c r="A483" s="38"/>
      <c r="B483" s="38"/>
      <c r="C483" s="38"/>
      <c r="D483" s="38"/>
      <c r="E483" s="38"/>
      <c r="G483" s="38"/>
    </row>
    <row r="484">
      <c r="A484" s="38"/>
      <c r="B484" s="38"/>
      <c r="C484" s="38"/>
      <c r="D484" s="38"/>
      <c r="E484" s="38"/>
      <c r="G484" s="38"/>
    </row>
    <row r="485">
      <c r="A485" s="38"/>
      <c r="B485" s="38"/>
      <c r="C485" s="38"/>
      <c r="D485" s="38"/>
      <c r="E485" s="38"/>
      <c r="G485" s="38"/>
    </row>
    <row r="486">
      <c r="A486" s="38"/>
      <c r="B486" s="38"/>
      <c r="C486" s="38"/>
      <c r="D486" s="38"/>
      <c r="E486" s="38"/>
      <c r="G486" s="38"/>
    </row>
    <row r="487">
      <c r="A487" s="38"/>
      <c r="B487" s="38"/>
      <c r="C487" s="38"/>
      <c r="D487" s="38"/>
      <c r="E487" s="38"/>
      <c r="G487" s="38"/>
    </row>
    <row r="488">
      <c r="A488" s="38"/>
      <c r="B488" s="38"/>
      <c r="C488" s="38"/>
      <c r="D488" s="38"/>
      <c r="E488" s="38"/>
      <c r="G488" s="38"/>
    </row>
    <row r="489">
      <c r="A489" s="38"/>
      <c r="B489" s="38"/>
      <c r="C489" s="38"/>
      <c r="D489" s="38"/>
      <c r="E489" s="38"/>
      <c r="G489" s="38"/>
    </row>
    <row r="490">
      <c r="A490" s="38"/>
      <c r="B490" s="38"/>
      <c r="C490" s="38"/>
      <c r="D490" s="38"/>
      <c r="E490" s="38"/>
      <c r="G490" s="38"/>
    </row>
    <row r="491">
      <c r="A491" s="38"/>
      <c r="B491" s="38"/>
      <c r="C491" s="38"/>
      <c r="D491" s="38"/>
      <c r="E491" s="38"/>
      <c r="G491" s="38"/>
    </row>
    <row r="492">
      <c r="A492" s="38"/>
      <c r="B492" s="38"/>
      <c r="C492" s="38"/>
      <c r="D492" s="38"/>
      <c r="E492" s="38"/>
      <c r="G492" s="38"/>
    </row>
    <row r="493">
      <c r="A493" s="38"/>
      <c r="B493" s="38"/>
      <c r="C493" s="38"/>
      <c r="D493" s="38"/>
      <c r="E493" s="38"/>
      <c r="G493" s="38"/>
    </row>
    <row r="494">
      <c r="A494" s="38"/>
      <c r="B494" s="38"/>
      <c r="C494" s="38"/>
      <c r="D494" s="38"/>
      <c r="E494" s="38"/>
      <c r="G494" s="38"/>
    </row>
    <row r="495">
      <c r="A495" s="38"/>
      <c r="B495" s="38"/>
      <c r="C495" s="38"/>
      <c r="D495" s="38"/>
      <c r="E495" s="38"/>
      <c r="G495" s="38"/>
    </row>
    <row r="496">
      <c r="A496" s="38"/>
      <c r="B496" s="38"/>
      <c r="C496" s="38"/>
      <c r="D496" s="38"/>
      <c r="E496" s="38"/>
      <c r="G496" s="38"/>
    </row>
    <row r="497">
      <c r="A497" s="38"/>
      <c r="B497" s="38"/>
      <c r="C497" s="38"/>
      <c r="D497" s="38"/>
      <c r="E497" s="38"/>
      <c r="G497" s="38"/>
    </row>
    <row r="498">
      <c r="A498" s="38"/>
      <c r="B498" s="38"/>
      <c r="C498" s="38"/>
      <c r="D498" s="38"/>
      <c r="E498" s="38"/>
      <c r="G498" s="38"/>
    </row>
    <row r="499">
      <c r="A499" s="38"/>
      <c r="B499" s="38"/>
      <c r="C499" s="38"/>
      <c r="D499" s="38"/>
      <c r="E499" s="38"/>
      <c r="G499" s="38"/>
    </row>
    <row r="500">
      <c r="A500" s="38"/>
      <c r="B500" s="38"/>
      <c r="C500" s="38"/>
      <c r="D500" s="38"/>
      <c r="E500" s="38"/>
      <c r="G500" s="38"/>
    </row>
    <row r="501">
      <c r="A501" s="38"/>
      <c r="B501" s="38"/>
      <c r="C501" s="38"/>
      <c r="D501" s="38"/>
      <c r="E501" s="38"/>
      <c r="G501" s="38"/>
    </row>
    <row r="502">
      <c r="A502" s="38"/>
      <c r="B502" s="38"/>
      <c r="C502" s="38"/>
      <c r="D502" s="38"/>
      <c r="E502" s="38"/>
      <c r="G502" s="38"/>
    </row>
    <row r="503">
      <c r="A503" s="38"/>
      <c r="B503" s="38"/>
      <c r="C503" s="38"/>
      <c r="D503" s="38"/>
      <c r="E503" s="38"/>
      <c r="G503" s="38"/>
    </row>
    <row r="504">
      <c r="A504" s="38"/>
      <c r="B504" s="38"/>
      <c r="C504" s="38"/>
      <c r="D504" s="38"/>
      <c r="E504" s="38"/>
      <c r="G504" s="38"/>
    </row>
    <row r="505">
      <c r="A505" s="38"/>
      <c r="B505" s="38"/>
      <c r="C505" s="38"/>
      <c r="D505" s="38"/>
      <c r="E505" s="38"/>
      <c r="G505" s="38"/>
    </row>
    <row r="506">
      <c r="A506" s="38"/>
      <c r="B506" s="38"/>
      <c r="C506" s="38"/>
      <c r="D506" s="38"/>
      <c r="E506" s="38"/>
      <c r="G506" s="38"/>
    </row>
    <row r="507">
      <c r="A507" s="38"/>
      <c r="B507" s="38"/>
      <c r="C507" s="38"/>
      <c r="D507" s="38"/>
      <c r="E507" s="38"/>
      <c r="G507" s="38"/>
    </row>
    <row r="508">
      <c r="A508" s="38"/>
      <c r="B508" s="38"/>
      <c r="C508" s="38"/>
      <c r="D508" s="38"/>
      <c r="E508" s="38"/>
      <c r="G508" s="38"/>
    </row>
    <row r="509">
      <c r="A509" s="38"/>
      <c r="B509" s="38"/>
      <c r="C509" s="38"/>
      <c r="D509" s="38"/>
      <c r="E509" s="38"/>
      <c r="G509" s="38"/>
    </row>
    <row r="510">
      <c r="A510" s="38"/>
      <c r="B510" s="38"/>
      <c r="C510" s="38"/>
      <c r="D510" s="38"/>
      <c r="E510" s="38"/>
      <c r="G510" s="38"/>
    </row>
    <row r="511">
      <c r="A511" s="38"/>
      <c r="B511" s="38"/>
      <c r="C511" s="38"/>
      <c r="D511" s="38"/>
      <c r="E511" s="38"/>
      <c r="G511" s="38"/>
    </row>
    <row r="512">
      <c r="A512" s="38"/>
      <c r="B512" s="38"/>
      <c r="C512" s="38"/>
      <c r="D512" s="38"/>
      <c r="E512" s="38"/>
      <c r="G512" s="38"/>
    </row>
    <row r="513">
      <c r="A513" s="38"/>
      <c r="B513" s="38"/>
      <c r="C513" s="38"/>
      <c r="D513" s="38"/>
      <c r="E513" s="38"/>
      <c r="G513" s="38"/>
    </row>
    <row r="514">
      <c r="A514" s="38"/>
      <c r="B514" s="38"/>
      <c r="C514" s="38"/>
      <c r="D514" s="38"/>
      <c r="E514" s="38"/>
      <c r="G514" s="38"/>
    </row>
    <row r="515">
      <c r="A515" s="38"/>
      <c r="B515" s="38"/>
      <c r="C515" s="38"/>
      <c r="D515" s="38"/>
      <c r="E515" s="38"/>
      <c r="G515" s="38"/>
    </row>
    <row r="516">
      <c r="A516" s="38"/>
      <c r="B516" s="38"/>
      <c r="C516" s="38"/>
      <c r="D516" s="38"/>
      <c r="E516" s="38"/>
      <c r="G516" s="38"/>
    </row>
    <row r="517">
      <c r="A517" s="38"/>
      <c r="B517" s="38"/>
      <c r="C517" s="38"/>
      <c r="D517" s="38"/>
      <c r="E517" s="38"/>
      <c r="G517" s="38"/>
    </row>
    <row r="518">
      <c r="A518" s="38"/>
      <c r="B518" s="38"/>
      <c r="C518" s="38"/>
      <c r="D518" s="38"/>
      <c r="E518" s="38"/>
      <c r="G518" s="38"/>
    </row>
    <row r="519">
      <c r="A519" s="38"/>
      <c r="B519" s="38"/>
      <c r="C519" s="38"/>
      <c r="D519" s="38"/>
      <c r="E519" s="38"/>
      <c r="G519" s="38"/>
    </row>
    <row r="520">
      <c r="A520" s="38"/>
      <c r="B520" s="38"/>
      <c r="C520" s="38"/>
      <c r="D520" s="38"/>
      <c r="E520" s="38"/>
      <c r="G520" s="38"/>
    </row>
    <row r="521">
      <c r="A521" s="38"/>
      <c r="B521" s="38"/>
      <c r="C521" s="38"/>
      <c r="D521" s="38"/>
      <c r="E521" s="38"/>
      <c r="G521" s="38"/>
    </row>
    <row r="522">
      <c r="A522" s="38"/>
      <c r="B522" s="38"/>
      <c r="C522" s="38"/>
      <c r="D522" s="38"/>
      <c r="E522" s="38"/>
      <c r="G522" s="38"/>
    </row>
    <row r="523">
      <c r="A523" s="38"/>
      <c r="B523" s="38"/>
      <c r="C523" s="38"/>
      <c r="D523" s="38"/>
      <c r="E523" s="38"/>
      <c r="G523" s="38"/>
    </row>
    <row r="524">
      <c r="A524" s="38"/>
      <c r="B524" s="38"/>
      <c r="C524" s="38"/>
      <c r="D524" s="38"/>
      <c r="E524" s="38"/>
      <c r="G524" s="38"/>
    </row>
    <row r="525">
      <c r="A525" s="38"/>
      <c r="B525" s="38"/>
      <c r="C525" s="38"/>
      <c r="D525" s="38"/>
      <c r="E525" s="38"/>
      <c r="G525" s="38"/>
    </row>
    <row r="526">
      <c r="A526" s="38"/>
      <c r="B526" s="38"/>
      <c r="C526" s="38"/>
      <c r="D526" s="38"/>
      <c r="E526" s="38"/>
      <c r="G526" s="38"/>
    </row>
    <row r="527">
      <c r="A527" s="38"/>
      <c r="B527" s="38"/>
      <c r="C527" s="38"/>
      <c r="D527" s="38"/>
      <c r="E527" s="38"/>
      <c r="G527" s="38"/>
    </row>
    <row r="528">
      <c r="A528" s="38"/>
      <c r="B528" s="38"/>
      <c r="C528" s="38"/>
      <c r="D528" s="38"/>
      <c r="E528" s="38"/>
      <c r="G528" s="38"/>
    </row>
    <row r="529">
      <c r="A529" s="38"/>
      <c r="B529" s="38"/>
      <c r="C529" s="38"/>
      <c r="D529" s="38"/>
      <c r="E529" s="38"/>
      <c r="G529" s="38"/>
    </row>
    <row r="530">
      <c r="A530" s="38"/>
      <c r="B530" s="38"/>
      <c r="C530" s="38"/>
      <c r="D530" s="38"/>
      <c r="E530" s="38"/>
      <c r="G530" s="38"/>
    </row>
    <row r="531">
      <c r="A531" s="38"/>
      <c r="B531" s="38"/>
      <c r="C531" s="38"/>
      <c r="D531" s="38"/>
      <c r="E531" s="38"/>
      <c r="G531" s="38"/>
    </row>
    <row r="532">
      <c r="A532" s="38"/>
      <c r="B532" s="38"/>
      <c r="C532" s="38"/>
      <c r="D532" s="38"/>
      <c r="E532" s="38"/>
      <c r="G532" s="38"/>
    </row>
    <row r="533">
      <c r="A533" s="38"/>
      <c r="B533" s="38"/>
      <c r="C533" s="38"/>
      <c r="D533" s="38"/>
      <c r="E533" s="38"/>
      <c r="G533" s="38"/>
    </row>
    <row r="534">
      <c r="A534" s="38"/>
      <c r="B534" s="38"/>
      <c r="C534" s="38"/>
      <c r="D534" s="38"/>
      <c r="E534" s="38"/>
      <c r="G534" s="38"/>
    </row>
    <row r="535">
      <c r="A535" s="38"/>
      <c r="B535" s="38"/>
      <c r="C535" s="38"/>
      <c r="D535" s="38"/>
      <c r="E535" s="38"/>
      <c r="G535" s="38"/>
    </row>
    <row r="536">
      <c r="A536" s="38"/>
      <c r="B536" s="38"/>
      <c r="C536" s="38"/>
      <c r="D536" s="38"/>
      <c r="E536" s="38"/>
      <c r="G536" s="38"/>
    </row>
    <row r="537">
      <c r="A537" s="38"/>
      <c r="B537" s="38"/>
      <c r="C537" s="38"/>
      <c r="D537" s="38"/>
      <c r="E537" s="38"/>
      <c r="G537" s="38"/>
    </row>
    <row r="538">
      <c r="A538" s="38"/>
      <c r="B538" s="38"/>
      <c r="C538" s="38"/>
      <c r="D538" s="38"/>
      <c r="E538" s="38"/>
      <c r="G538" s="38"/>
    </row>
    <row r="539">
      <c r="A539" s="38"/>
      <c r="B539" s="38"/>
      <c r="C539" s="38"/>
      <c r="D539" s="38"/>
      <c r="E539" s="38"/>
      <c r="G539" s="38"/>
    </row>
    <row r="540">
      <c r="A540" s="38"/>
      <c r="B540" s="38"/>
      <c r="C540" s="38"/>
      <c r="D540" s="38"/>
      <c r="E540" s="38"/>
      <c r="G540" s="38"/>
    </row>
    <row r="541">
      <c r="A541" s="38"/>
      <c r="B541" s="38"/>
      <c r="C541" s="38"/>
      <c r="D541" s="38"/>
      <c r="E541" s="38"/>
      <c r="G541" s="38"/>
    </row>
    <row r="542">
      <c r="A542" s="38"/>
      <c r="B542" s="38"/>
      <c r="C542" s="38"/>
      <c r="D542" s="38"/>
      <c r="E542" s="38"/>
      <c r="G542" s="38"/>
    </row>
    <row r="543">
      <c r="A543" s="38"/>
      <c r="B543" s="38"/>
      <c r="C543" s="38"/>
      <c r="D543" s="38"/>
      <c r="E543" s="38"/>
      <c r="G543" s="38"/>
    </row>
    <row r="544">
      <c r="A544" s="38"/>
      <c r="B544" s="38"/>
      <c r="C544" s="38"/>
      <c r="D544" s="38"/>
      <c r="E544" s="38"/>
      <c r="G544" s="38"/>
    </row>
    <row r="545">
      <c r="A545" s="38"/>
      <c r="B545" s="38"/>
      <c r="C545" s="38"/>
      <c r="D545" s="38"/>
      <c r="E545" s="38"/>
      <c r="G545" s="38"/>
    </row>
    <row r="546">
      <c r="A546" s="38"/>
      <c r="B546" s="38"/>
      <c r="C546" s="38"/>
      <c r="D546" s="38"/>
      <c r="E546" s="38"/>
      <c r="G546" s="38"/>
    </row>
    <row r="547">
      <c r="A547" s="38"/>
      <c r="B547" s="38"/>
      <c r="C547" s="38"/>
      <c r="D547" s="38"/>
      <c r="E547" s="38"/>
      <c r="G547" s="38"/>
    </row>
    <row r="548">
      <c r="A548" s="38"/>
      <c r="B548" s="38"/>
      <c r="C548" s="38"/>
      <c r="D548" s="38"/>
      <c r="E548" s="38"/>
      <c r="G548" s="38"/>
    </row>
    <row r="549">
      <c r="A549" s="38"/>
      <c r="B549" s="38"/>
      <c r="C549" s="38"/>
      <c r="D549" s="38"/>
      <c r="E549" s="38"/>
      <c r="G549" s="38"/>
    </row>
    <row r="550">
      <c r="A550" s="38"/>
      <c r="B550" s="38"/>
      <c r="C550" s="38"/>
      <c r="D550" s="38"/>
      <c r="E550" s="38"/>
      <c r="G550" s="38"/>
    </row>
    <row r="551">
      <c r="A551" s="38"/>
      <c r="B551" s="38"/>
      <c r="C551" s="38"/>
      <c r="D551" s="38"/>
      <c r="E551" s="38"/>
      <c r="G551" s="38"/>
    </row>
    <row r="552">
      <c r="A552" s="38"/>
      <c r="B552" s="38"/>
      <c r="C552" s="38"/>
      <c r="D552" s="38"/>
      <c r="E552" s="38"/>
      <c r="G552" s="38"/>
    </row>
    <row r="553">
      <c r="A553" s="38"/>
      <c r="B553" s="38"/>
      <c r="C553" s="38"/>
      <c r="D553" s="38"/>
      <c r="E553" s="38"/>
      <c r="G553" s="38"/>
    </row>
    <row r="554">
      <c r="A554" s="38"/>
      <c r="B554" s="38"/>
      <c r="C554" s="38"/>
      <c r="D554" s="38"/>
      <c r="E554" s="38"/>
      <c r="G554" s="38"/>
    </row>
    <row r="555">
      <c r="A555" s="38"/>
      <c r="B555" s="38"/>
      <c r="C555" s="38"/>
      <c r="D555" s="38"/>
      <c r="E555" s="38"/>
      <c r="G555" s="38"/>
    </row>
    <row r="556">
      <c r="A556" s="38"/>
      <c r="B556" s="38"/>
      <c r="C556" s="38"/>
      <c r="D556" s="38"/>
      <c r="E556" s="38"/>
      <c r="G556" s="38"/>
    </row>
    <row r="557">
      <c r="A557" s="38"/>
      <c r="B557" s="38"/>
      <c r="C557" s="38"/>
      <c r="D557" s="38"/>
      <c r="E557" s="38"/>
      <c r="G557" s="38"/>
    </row>
    <row r="558">
      <c r="A558" s="38"/>
      <c r="B558" s="38"/>
      <c r="C558" s="38"/>
      <c r="D558" s="38"/>
      <c r="E558" s="38"/>
      <c r="G558" s="38"/>
    </row>
    <row r="559">
      <c r="A559" s="38"/>
      <c r="B559" s="38"/>
      <c r="C559" s="38"/>
      <c r="D559" s="38"/>
      <c r="E559" s="38"/>
      <c r="G559" s="38"/>
    </row>
    <row r="560">
      <c r="A560" s="38"/>
      <c r="B560" s="38"/>
      <c r="C560" s="38"/>
      <c r="D560" s="38"/>
      <c r="E560" s="38"/>
      <c r="G560" s="38"/>
    </row>
    <row r="561">
      <c r="A561" s="38"/>
      <c r="B561" s="38"/>
      <c r="C561" s="38"/>
      <c r="D561" s="38"/>
      <c r="E561" s="38"/>
      <c r="G561" s="38"/>
    </row>
    <row r="562">
      <c r="A562" s="38"/>
      <c r="B562" s="38"/>
      <c r="C562" s="38"/>
      <c r="D562" s="38"/>
      <c r="E562" s="38"/>
      <c r="G562" s="38"/>
    </row>
    <row r="563">
      <c r="A563" s="38"/>
      <c r="B563" s="38"/>
      <c r="C563" s="38"/>
      <c r="D563" s="38"/>
      <c r="E563" s="38"/>
      <c r="G563" s="38"/>
    </row>
    <row r="564">
      <c r="A564" s="38"/>
      <c r="B564" s="38"/>
      <c r="C564" s="38"/>
      <c r="D564" s="38"/>
      <c r="E564" s="38"/>
      <c r="G564" s="38"/>
    </row>
    <row r="565">
      <c r="A565" s="38"/>
      <c r="B565" s="38"/>
      <c r="C565" s="38"/>
      <c r="D565" s="38"/>
      <c r="E565" s="38"/>
      <c r="G565" s="38"/>
    </row>
    <row r="566">
      <c r="A566" s="38"/>
      <c r="B566" s="38"/>
      <c r="C566" s="38"/>
      <c r="D566" s="38"/>
      <c r="E566" s="38"/>
      <c r="G566" s="38"/>
    </row>
    <row r="567">
      <c r="A567" s="38"/>
      <c r="B567" s="38"/>
      <c r="C567" s="38"/>
      <c r="D567" s="38"/>
      <c r="E567" s="38"/>
      <c r="G567" s="38"/>
    </row>
    <row r="568">
      <c r="A568" s="38"/>
      <c r="B568" s="38"/>
      <c r="C568" s="38"/>
      <c r="D568" s="38"/>
      <c r="E568" s="38"/>
      <c r="G568" s="38"/>
    </row>
    <row r="569">
      <c r="A569" s="38"/>
      <c r="B569" s="38"/>
      <c r="C569" s="38"/>
      <c r="D569" s="38"/>
      <c r="E569" s="38"/>
      <c r="G569" s="38"/>
    </row>
    <row r="570">
      <c r="A570" s="38"/>
      <c r="B570" s="38"/>
      <c r="C570" s="38"/>
      <c r="D570" s="38"/>
      <c r="E570" s="38"/>
      <c r="G570" s="38"/>
    </row>
    <row r="571">
      <c r="A571" s="38"/>
      <c r="B571" s="38"/>
      <c r="C571" s="38"/>
      <c r="D571" s="38"/>
      <c r="E571" s="38"/>
      <c r="G571" s="38"/>
    </row>
    <row r="572">
      <c r="A572" s="38"/>
      <c r="B572" s="38"/>
      <c r="C572" s="38"/>
      <c r="D572" s="38"/>
      <c r="E572" s="38"/>
      <c r="G572" s="38"/>
    </row>
    <row r="573">
      <c r="A573" s="38"/>
      <c r="B573" s="38"/>
      <c r="C573" s="38"/>
      <c r="D573" s="38"/>
      <c r="E573" s="38"/>
      <c r="G573" s="38"/>
    </row>
    <row r="574">
      <c r="A574" s="38"/>
      <c r="B574" s="38"/>
      <c r="C574" s="38"/>
      <c r="D574" s="38"/>
      <c r="E574" s="38"/>
      <c r="G574" s="38"/>
    </row>
    <row r="575">
      <c r="A575" s="38"/>
      <c r="B575" s="38"/>
      <c r="C575" s="38"/>
      <c r="D575" s="38"/>
      <c r="E575" s="38"/>
      <c r="G575" s="38"/>
    </row>
    <row r="576">
      <c r="A576" s="38"/>
      <c r="B576" s="38"/>
      <c r="C576" s="38"/>
      <c r="D576" s="38"/>
      <c r="E576" s="38"/>
      <c r="G576" s="38"/>
    </row>
    <row r="577">
      <c r="A577" s="38"/>
      <c r="B577" s="38"/>
      <c r="C577" s="38"/>
      <c r="D577" s="38"/>
      <c r="E577" s="38"/>
      <c r="G577" s="38"/>
    </row>
    <row r="578">
      <c r="A578" s="38"/>
      <c r="B578" s="38"/>
      <c r="C578" s="38"/>
      <c r="D578" s="38"/>
      <c r="E578" s="38"/>
      <c r="G578" s="38"/>
    </row>
    <row r="579">
      <c r="A579" s="38"/>
      <c r="B579" s="38"/>
      <c r="C579" s="38"/>
      <c r="D579" s="38"/>
      <c r="E579" s="38"/>
      <c r="G579" s="38"/>
    </row>
    <row r="580">
      <c r="A580" s="38"/>
      <c r="B580" s="38"/>
      <c r="C580" s="38"/>
      <c r="D580" s="38"/>
      <c r="E580" s="38"/>
      <c r="G580" s="38"/>
    </row>
    <row r="581">
      <c r="A581" s="38"/>
      <c r="B581" s="38"/>
      <c r="C581" s="38"/>
      <c r="D581" s="38"/>
      <c r="E581" s="38"/>
      <c r="G581" s="38"/>
    </row>
    <row r="582">
      <c r="A582" s="38"/>
      <c r="B582" s="38"/>
      <c r="C582" s="38"/>
      <c r="D582" s="38"/>
      <c r="E582" s="38"/>
      <c r="G582" s="38"/>
    </row>
    <row r="583">
      <c r="A583" s="38"/>
      <c r="B583" s="38"/>
      <c r="C583" s="38"/>
      <c r="D583" s="38"/>
      <c r="E583" s="38"/>
      <c r="G583" s="38"/>
    </row>
    <row r="584">
      <c r="A584" s="38"/>
      <c r="B584" s="38"/>
      <c r="C584" s="38"/>
      <c r="D584" s="38"/>
      <c r="E584" s="38"/>
      <c r="G584" s="38"/>
    </row>
    <row r="585">
      <c r="A585" s="38"/>
      <c r="B585" s="38"/>
      <c r="C585" s="38"/>
      <c r="D585" s="38"/>
      <c r="E585" s="38"/>
      <c r="G585" s="38"/>
    </row>
    <row r="586">
      <c r="A586" s="38"/>
      <c r="B586" s="38"/>
      <c r="C586" s="38"/>
      <c r="D586" s="38"/>
      <c r="E586" s="38"/>
      <c r="G586" s="38"/>
    </row>
    <row r="587">
      <c r="A587" s="38"/>
      <c r="B587" s="38"/>
      <c r="C587" s="38"/>
      <c r="D587" s="38"/>
      <c r="E587" s="38"/>
      <c r="G587" s="38"/>
    </row>
    <row r="588">
      <c r="A588" s="38"/>
      <c r="B588" s="38"/>
      <c r="C588" s="38"/>
      <c r="D588" s="38"/>
      <c r="E588" s="38"/>
      <c r="G588" s="38"/>
    </row>
    <row r="589">
      <c r="A589" s="38"/>
      <c r="B589" s="38"/>
      <c r="C589" s="38"/>
      <c r="D589" s="38"/>
      <c r="E589" s="38"/>
      <c r="G589" s="38"/>
    </row>
    <row r="590">
      <c r="A590" s="38"/>
      <c r="B590" s="38"/>
      <c r="C590" s="38"/>
      <c r="D590" s="38"/>
      <c r="E590" s="38"/>
      <c r="G590" s="38"/>
    </row>
    <row r="591">
      <c r="A591" s="38"/>
      <c r="B591" s="38"/>
      <c r="C591" s="38"/>
      <c r="D591" s="38"/>
      <c r="E591" s="38"/>
      <c r="G591" s="38"/>
    </row>
    <row r="592">
      <c r="A592" s="38"/>
      <c r="B592" s="38"/>
      <c r="C592" s="38"/>
      <c r="D592" s="38"/>
      <c r="E592" s="38"/>
      <c r="G592" s="38"/>
    </row>
    <row r="593">
      <c r="A593" s="38"/>
      <c r="B593" s="38"/>
      <c r="C593" s="38"/>
      <c r="D593" s="38"/>
      <c r="E593" s="38"/>
      <c r="G593" s="38"/>
    </row>
    <row r="594">
      <c r="A594" s="38"/>
      <c r="B594" s="38"/>
      <c r="C594" s="38"/>
      <c r="D594" s="38"/>
      <c r="E594" s="38"/>
      <c r="G594" s="38"/>
    </row>
    <row r="595">
      <c r="A595" s="38"/>
      <c r="B595" s="38"/>
      <c r="C595" s="38"/>
      <c r="D595" s="38"/>
      <c r="E595" s="38"/>
      <c r="G595" s="38"/>
    </row>
    <row r="596">
      <c r="A596" s="38"/>
      <c r="B596" s="38"/>
      <c r="C596" s="38"/>
      <c r="D596" s="38"/>
      <c r="E596" s="38"/>
      <c r="G596" s="38"/>
    </row>
    <row r="597">
      <c r="A597" s="38"/>
      <c r="B597" s="38"/>
      <c r="C597" s="38"/>
      <c r="D597" s="38"/>
      <c r="E597" s="38"/>
      <c r="G597" s="38"/>
    </row>
    <row r="598">
      <c r="A598" s="38"/>
      <c r="B598" s="38"/>
      <c r="C598" s="38"/>
      <c r="D598" s="38"/>
      <c r="E598" s="38"/>
      <c r="G598" s="38"/>
    </row>
    <row r="599">
      <c r="A599" s="38"/>
      <c r="B599" s="38"/>
      <c r="C599" s="38"/>
      <c r="D599" s="38"/>
      <c r="E599" s="38"/>
      <c r="G599" s="38"/>
    </row>
    <row r="600">
      <c r="A600" s="38"/>
      <c r="B600" s="38"/>
      <c r="C600" s="38"/>
      <c r="D600" s="38"/>
      <c r="E600" s="38"/>
      <c r="G600" s="38"/>
    </row>
    <row r="601">
      <c r="A601" s="38"/>
      <c r="B601" s="38"/>
      <c r="C601" s="38"/>
      <c r="D601" s="38"/>
      <c r="E601" s="38"/>
      <c r="G601" s="38"/>
    </row>
    <row r="602">
      <c r="A602" s="38"/>
      <c r="B602" s="38"/>
      <c r="C602" s="38"/>
      <c r="D602" s="38"/>
      <c r="E602" s="38"/>
      <c r="G602" s="38"/>
    </row>
    <row r="603">
      <c r="A603" s="38"/>
      <c r="B603" s="38"/>
      <c r="C603" s="38"/>
      <c r="D603" s="38"/>
      <c r="E603" s="38"/>
      <c r="G603" s="38"/>
    </row>
    <row r="604">
      <c r="A604" s="38"/>
      <c r="B604" s="38"/>
      <c r="C604" s="38"/>
      <c r="D604" s="38"/>
      <c r="E604" s="38"/>
      <c r="G604" s="38"/>
    </row>
    <row r="605">
      <c r="A605" s="38"/>
      <c r="B605" s="38"/>
      <c r="C605" s="38"/>
      <c r="D605" s="38"/>
      <c r="E605" s="38"/>
      <c r="G605" s="38"/>
    </row>
    <row r="606">
      <c r="A606" s="38"/>
      <c r="B606" s="38"/>
      <c r="C606" s="38"/>
      <c r="D606" s="38"/>
      <c r="E606" s="38"/>
      <c r="G606" s="38"/>
    </row>
    <row r="607">
      <c r="A607" s="38"/>
      <c r="B607" s="38"/>
      <c r="C607" s="38"/>
      <c r="D607" s="38"/>
      <c r="E607" s="38"/>
      <c r="G607" s="38"/>
    </row>
    <row r="608">
      <c r="A608" s="38"/>
      <c r="B608" s="38"/>
      <c r="C608" s="38"/>
      <c r="D608" s="38"/>
      <c r="E608" s="38"/>
      <c r="G608" s="38"/>
    </row>
    <row r="609">
      <c r="A609" s="38"/>
      <c r="B609" s="38"/>
      <c r="C609" s="38"/>
      <c r="D609" s="38"/>
      <c r="E609" s="38"/>
      <c r="G609" s="38"/>
    </row>
    <row r="610">
      <c r="A610" s="38"/>
      <c r="B610" s="38"/>
      <c r="C610" s="38"/>
      <c r="D610" s="38"/>
      <c r="E610" s="38"/>
      <c r="G610" s="38"/>
    </row>
    <row r="611">
      <c r="A611" s="38"/>
      <c r="B611" s="38"/>
      <c r="C611" s="38"/>
      <c r="D611" s="38"/>
      <c r="E611" s="38"/>
      <c r="G611" s="38"/>
    </row>
    <row r="612">
      <c r="A612" s="38"/>
      <c r="B612" s="38"/>
      <c r="C612" s="38"/>
      <c r="D612" s="38"/>
      <c r="E612" s="38"/>
      <c r="G612" s="38"/>
    </row>
    <row r="613">
      <c r="A613" s="38"/>
      <c r="B613" s="38"/>
      <c r="C613" s="38"/>
      <c r="D613" s="38"/>
      <c r="E613" s="38"/>
      <c r="G613" s="38"/>
    </row>
    <row r="614">
      <c r="A614" s="38"/>
      <c r="B614" s="38"/>
      <c r="C614" s="38"/>
      <c r="D614" s="38"/>
      <c r="E614" s="38"/>
      <c r="G614" s="38"/>
    </row>
    <row r="615">
      <c r="A615" s="38"/>
      <c r="B615" s="38"/>
      <c r="C615" s="38"/>
      <c r="D615" s="38"/>
      <c r="E615" s="38"/>
      <c r="G615" s="38"/>
    </row>
    <row r="616">
      <c r="A616" s="38"/>
      <c r="B616" s="38"/>
      <c r="C616" s="38"/>
      <c r="D616" s="38"/>
      <c r="E616" s="38"/>
      <c r="G616" s="38"/>
    </row>
    <row r="617">
      <c r="A617" s="38"/>
      <c r="B617" s="38"/>
      <c r="C617" s="38"/>
      <c r="D617" s="38"/>
      <c r="E617" s="38"/>
      <c r="G617" s="38"/>
    </row>
    <row r="618">
      <c r="A618" s="38"/>
      <c r="B618" s="38"/>
      <c r="C618" s="38"/>
      <c r="D618" s="38"/>
      <c r="E618" s="38"/>
      <c r="G618" s="38"/>
    </row>
    <row r="619">
      <c r="A619" s="38"/>
      <c r="B619" s="38"/>
      <c r="C619" s="38"/>
      <c r="D619" s="38"/>
      <c r="E619" s="38"/>
      <c r="G619" s="38"/>
    </row>
    <row r="620">
      <c r="A620" s="38"/>
      <c r="B620" s="38"/>
      <c r="C620" s="38"/>
      <c r="D620" s="38"/>
      <c r="E620" s="38"/>
      <c r="G620" s="38"/>
    </row>
    <row r="621">
      <c r="A621" s="38"/>
      <c r="B621" s="38"/>
      <c r="C621" s="38"/>
      <c r="D621" s="38"/>
      <c r="E621" s="38"/>
      <c r="G621" s="38"/>
    </row>
    <row r="622">
      <c r="A622" s="38"/>
      <c r="B622" s="38"/>
      <c r="C622" s="38"/>
      <c r="D622" s="38"/>
      <c r="E622" s="38"/>
      <c r="G622" s="38"/>
    </row>
    <row r="623">
      <c r="A623" s="38"/>
      <c r="B623" s="38"/>
      <c r="C623" s="38"/>
      <c r="D623" s="38"/>
      <c r="E623" s="38"/>
      <c r="G623" s="38"/>
    </row>
    <row r="624">
      <c r="A624" s="38"/>
      <c r="B624" s="38"/>
      <c r="C624" s="38"/>
      <c r="D624" s="38"/>
      <c r="E624" s="38"/>
      <c r="G624" s="38"/>
    </row>
    <row r="625">
      <c r="A625" s="38"/>
      <c r="B625" s="38"/>
      <c r="C625" s="38"/>
      <c r="D625" s="38"/>
      <c r="E625" s="38"/>
      <c r="G625" s="38"/>
    </row>
    <row r="626">
      <c r="A626" s="38"/>
      <c r="B626" s="38"/>
      <c r="C626" s="38"/>
      <c r="D626" s="38"/>
      <c r="E626" s="38"/>
      <c r="G626" s="38"/>
    </row>
    <row r="627">
      <c r="A627" s="38"/>
      <c r="B627" s="38"/>
      <c r="C627" s="38"/>
      <c r="D627" s="38"/>
      <c r="E627" s="38"/>
      <c r="G627" s="38"/>
    </row>
    <row r="628">
      <c r="A628" s="38"/>
      <c r="B628" s="38"/>
      <c r="C628" s="38"/>
      <c r="D628" s="38"/>
      <c r="E628" s="38"/>
      <c r="G628" s="38"/>
    </row>
    <row r="629">
      <c r="A629" s="38"/>
      <c r="B629" s="38"/>
      <c r="C629" s="38"/>
      <c r="D629" s="38"/>
      <c r="E629" s="38"/>
      <c r="G629" s="38"/>
    </row>
    <row r="630">
      <c r="A630" s="38"/>
      <c r="B630" s="38"/>
      <c r="C630" s="38"/>
      <c r="D630" s="38"/>
      <c r="E630" s="38"/>
      <c r="G630" s="38"/>
    </row>
    <row r="631">
      <c r="A631" s="38"/>
      <c r="B631" s="38"/>
      <c r="C631" s="38"/>
      <c r="D631" s="38"/>
      <c r="E631" s="38"/>
      <c r="G631" s="38"/>
    </row>
    <row r="632">
      <c r="A632" s="38"/>
      <c r="B632" s="38"/>
      <c r="C632" s="38"/>
      <c r="D632" s="38"/>
      <c r="E632" s="38"/>
      <c r="G632" s="38"/>
    </row>
    <row r="633">
      <c r="A633" s="38"/>
      <c r="B633" s="38"/>
      <c r="C633" s="38"/>
      <c r="D633" s="38"/>
      <c r="E633" s="38"/>
      <c r="G633" s="38"/>
    </row>
    <row r="634">
      <c r="A634" s="38"/>
      <c r="B634" s="38"/>
      <c r="C634" s="38"/>
      <c r="D634" s="38"/>
      <c r="E634" s="38"/>
      <c r="G634" s="38"/>
    </row>
    <row r="635">
      <c r="A635" s="38"/>
      <c r="B635" s="38"/>
      <c r="C635" s="38"/>
      <c r="D635" s="38"/>
      <c r="E635" s="38"/>
      <c r="G635" s="38"/>
    </row>
    <row r="636">
      <c r="A636" s="38"/>
      <c r="B636" s="38"/>
      <c r="C636" s="38"/>
      <c r="D636" s="38"/>
      <c r="E636" s="38"/>
      <c r="G636" s="38"/>
    </row>
    <row r="637">
      <c r="A637" s="38"/>
      <c r="B637" s="38"/>
      <c r="C637" s="38"/>
      <c r="D637" s="38"/>
      <c r="E637" s="38"/>
      <c r="G637" s="38"/>
    </row>
    <row r="638">
      <c r="A638" s="38"/>
      <c r="B638" s="38"/>
      <c r="C638" s="38"/>
      <c r="D638" s="38"/>
      <c r="E638" s="38"/>
      <c r="G638" s="38"/>
    </row>
    <row r="639">
      <c r="A639" s="38"/>
      <c r="B639" s="38"/>
      <c r="C639" s="38"/>
      <c r="D639" s="38"/>
      <c r="E639" s="38"/>
      <c r="G639" s="38"/>
    </row>
    <row r="640">
      <c r="A640" s="38"/>
      <c r="B640" s="38"/>
      <c r="C640" s="38"/>
      <c r="D640" s="38"/>
      <c r="E640" s="38"/>
      <c r="G640" s="38"/>
    </row>
    <row r="641">
      <c r="A641" s="38"/>
      <c r="B641" s="38"/>
      <c r="C641" s="38"/>
      <c r="D641" s="38"/>
      <c r="E641" s="38"/>
      <c r="G641" s="38"/>
    </row>
    <row r="642">
      <c r="A642" s="38"/>
      <c r="B642" s="38"/>
      <c r="C642" s="38"/>
      <c r="D642" s="38"/>
      <c r="E642" s="38"/>
      <c r="G642" s="38"/>
    </row>
    <row r="643">
      <c r="A643" s="38"/>
      <c r="B643" s="38"/>
      <c r="C643" s="38"/>
      <c r="D643" s="38"/>
      <c r="E643" s="38"/>
      <c r="G643" s="38"/>
    </row>
    <row r="644">
      <c r="A644" s="38"/>
      <c r="B644" s="38"/>
      <c r="C644" s="38"/>
      <c r="D644" s="38"/>
      <c r="E644" s="38"/>
      <c r="G644" s="38"/>
    </row>
    <row r="645">
      <c r="A645" s="38"/>
      <c r="B645" s="38"/>
      <c r="C645" s="38"/>
      <c r="D645" s="38"/>
      <c r="E645" s="38"/>
      <c r="G645" s="38"/>
    </row>
    <row r="646">
      <c r="A646" s="38"/>
      <c r="B646" s="38"/>
      <c r="C646" s="38"/>
      <c r="D646" s="38"/>
      <c r="E646" s="38"/>
      <c r="G646" s="38"/>
    </row>
    <row r="647">
      <c r="A647" s="38"/>
      <c r="B647" s="38"/>
      <c r="C647" s="38"/>
      <c r="D647" s="38"/>
      <c r="E647" s="38"/>
      <c r="G647" s="38"/>
    </row>
    <row r="648">
      <c r="A648" s="38"/>
      <c r="B648" s="38"/>
      <c r="C648" s="38"/>
      <c r="D648" s="38"/>
      <c r="E648" s="38"/>
      <c r="G648" s="38"/>
    </row>
    <row r="649">
      <c r="A649" s="38"/>
      <c r="B649" s="38"/>
      <c r="C649" s="38"/>
      <c r="D649" s="38"/>
      <c r="E649" s="38"/>
      <c r="G649" s="38"/>
    </row>
    <row r="650">
      <c r="A650" s="38"/>
      <c r="B650" s="38"/>
      <c r="C650" s="38"/>
      <c r="D650" s="38"/>
      <c r="E650" s="38"/>
      <c r="G650" s="38"/>
    </row>
    <row r="651">
      <c r="A651" s="38"/>
      <c r="B651" s="38"/>
      <c r="C651" s="38"/>
      <c r="D651" s="38"/>
      <c r="E651" s="38"/>
      <c r="G651" s="38"/>
    </row>
    <row r="652">
      <c r="A652" s="38"/>
      <c r="B652" s="38"/>
      <c r="C652" s="38"/>
      <c r="D652" s="38"/>
      <c r="E652" s="38"/>
      <c r="G652" s="38"/>
    </row>
    <row r="653">
      <c r="A653" s="38"/>
      <c r="B653" s="38"/>
      <c r="C653" s="38"/>
      <c r="D653" s="38"/>
      <c r="E653" s="38"/>
      <c r="G653" s="38"/>
    </row>
    <row r="654">
      <c r="A654" s="38"/>
      <c r="B654" s="38"/>
      <c r="C654" s="38"/>
      <c r="D654" s="38"/>
      <c r="E654" s="38"/>
      <c r="G654" s="38"/>
    </row>
    <row r="655">
      <c r="A655" s="38"/>
      <c r="B655" s="38"/>
      <c r="C655" s="38"/>
      <c r="D655" s="38"/>
      <c r="E655" s="38"/>
      <c r="G655" s="38"/>
    </row>
    <row r="656">
      <c r="A656" s="38"/>
      <c r="B656" s="38"/>
      <c r="C656" s="38"/>
      <c r="D656" s="38"/>
      <c r="E656" s="38"/>
      <c r="G656" s="38"/>
    </row>
    <row r="657">
      <c r="A657" s="38"/>
      <c r="B657" s="38"/>
      <c r="C657" s="38"/>
      <c r="D657" s="38"/>
      <c r="E657" s="38"/>
      <c r="G657" s="38"/>
    </row>
    <row r="658">
      <c r="A658" s="38"/>
      <c r="B658" s="38"/>
      <c r="C658" s="38"/>
      <c r="D658" s="38"/>
      <c r="E658" s="38"/>
      <c r="G658" s="38"/>
    </row>
    <row r="659">
      <c r="A659" s="38"/>
      <c r="B659" s="38"/>
      <c r="C659" s="38"/>
      <c r="D659" s="38"/>
      <c r="E659" s="38"/>
      <c r="G659" s="38"/>
    </row>
    <row r="660">
      <c r="A660" s="38"/>
      <c r="B660" s="38"/>
      <c r="C660" s="38"/>
      <c r="D660" s="38"/>
      <c r="E660" s="38"/>
      <c r="G660" s="38"/>
    </row>
    <row r="661">
      <c r="A661" s="38"/>
      <c r="B661" s="38"/>
      <c r="C661" s="38"/>
      <c r="D661" s="38"/>
      <c r="E661" s="38"/>
      <c r="G661" s="38"/>
    </row>
    <row r="662">
      <c r="A662" s="38"/>
      <c r="B662" s="38"/>
      <c r="C662" s="38"/>
      <c r="D662" s="38"/>
      <c r="E662" s="38"/>
      <c r="G662" s="38"/>
    </row>
    <row r="663">
      <c r="A663" s="38"/>
      <c r="B663" s="38"/>
      <c r="C663" s="38"/>
      <c r="D663" s="38"/>
      <c r="E663" s="38"/>
      <c r="G663" s="38"/>
    </row>
    <row r="664">
      <c r="A664" s="38"/>
      <c r="B664" s="38"/>
      <c r="C664" s="38"/>
      <c r="D664" s="38"/>
      <c r="E664" s="38"/>
      <c r="G664" s="38"/>
    </row>
    <row r="665">
      <c r="A665" s="38"/>
      <c r="B665" s="38"/>
      <c r="C665" s="38"/>
      <c r="D665" s="38"/>
      <c r="E665" s="38"/>
      <c r="G665" s="38"/>
    </row>
    <row r="666">
      <c r="A666" s="38"/>
      <c r="B666" s="38"/>
      <c r="C666" s="38"/>
      <c r="D666" s="38"/>
      <c r="E666" s="38"/>
      <c r="G666" s="38"/>
    </row>
    <row r="667">
      <c r="A667" s="38"/>
      <c r="B667" s="38"/>
      <c r="C667" s="38"/>
      <c r="D667" s="38"/>
      <c r="E667" s="38"/>
      <c r="G667" s="38"/>
    </row>
    <row r="668">
      <c r="A668" s="38"/>
      <c r="B668" s="38"/>
      <c r="C668" s="38"/>
      <c r="D668" s="38"/>
      <c r="E668" s="38"/>
      <c r="G668" s="38"/>
    </row>
    <row r="669">
      <c r="A669" s="38"/>
      <c r="B669" s="38"/>
      <c r="C669" s="38"/>
      <c r="D669" s="38"/>
      <c r="E669" s="38"/>
      <c r="G669" s="38"/>
    </row>
    <row r="670">
      <c r="A670" s="38"/>
      <c r="B670" s="38"/>
      <c r="C670" s="38"/>
      <c r="D670" s="38"/>
      <c r="E670" s="38"/>
      <c r="G670" s="38"/>
    </row>
    <row r="671">
      <c r="A671" s="38"/>
      <c r="B671" s="38"/>
      <c r="C671" s="38"/>
      <c r="D671" s="38"/>
      <c r="E671" s="38"/>
      <c r="G671" s="38"/>
    </row>
    <row r="672">
      <c r="A672" s="38"/>
      <c r="B672" s="38"/>
      <c r="C672" s="38"/>
      <c r="D672" s="38"/>
      <c r="E672" s="38"/>
      <c r="G672" s="38"/>
    </row>
    <row r="673">
      <c r="A673" s="38"/>
      <c r="B673" s="38"/>
      <c r="C673" s="38"/>
      <c r="D673" s="38"/>
      <c r="E673" s="38"/>
      <c r="G673" s="38"/>
    </row>
    <row r="674">
      <c r="A674" s="38"/>
      <c r="B674" s="38"/>
      <c r="C674" s="38"/>
      <c r="D674" s="38"/>
      <c r="E674" s="38"/>
      <c r="G674" s="38"/>
    </row>
    <row r="675">
      <c r="A675" s="38"/>
      <c r="B675" s="38"/>
      <c r="C675" s="38"/>
      <c r="D675" s="38"/>
      <c r="E675" s="38"/>
      <c r="G675" s="38"/>
    </row>
    <row r="676">
      <c r="A676" s="38"/>
      <c r="B676" s="38"/>
      <c r="C676" s="38"/>
      <c r="D676" s="38"/>
      <c r="E676" s="38"/>
      <c r="G676" s="38"/>
    </row>
    <row r="677">
      <c r="A677" s="38"/>
      <c r="B677" s="38"/>
      <c r="C677" s="38"/>
      <c r="D677" s="38"/>
      <c r="E677" s="38"/>
      <c r="G677" s="38"/>
    </row>
    <row r="678">
      <c r="A678" s="38"/>
      <c r="B678" s="38"/>
      <c r="C678" s="38"/>
      <c r="D678" s="38"/>
      <c r="E678" s="38"/>
      <c r="G678" s="38"/>
    </row>
    <row r="679">
      <c r="A679" s="38"/>
      <c r="B679" s="38"/>
      <c r="C679" s="38"/>
      <c r="D679" s="38"/>
      <c r="E679" s="38"/>
      <c r="G679" s="38"/>
    </row>
    <row r="680">
      <c r="A680" s="38"/>
      <c r="B680" s="38"/>
      <c r="C680" s="38"/>
      <c r="D680" s="38"/>
      <c r="E680" s="38"/>
      <c r="G680" s="38"/>
    </row>
    <row r="681">
      <c r="A681" s="38"/>
      <c r="B681" s="38"/>
      <c r="C681" s="38"/>
      <c r="D681" s="38"/>
      <c r="E681" s="38"/>
      <c r="G681" s="38"/>
    </row>
    <row r="682">
      <c r="A682" s="38"/>
      <c r="B682" s="38"/>
      <c r="C682" s="38"/>
      <c r="D682" s="38"/>
      <c r="E682" s="38"/>
      <c r="G682" s="38"/>
    </row>
    <row r="683">
      <c r="A683" s="38"/>
      <c r="B683" s="38"/>
      <c r="C683" s="38"/>
      <c r="D683" s="38"/>
      <c r="E683" s="38"/>
      <c r="G683" s="38"/>
    </row>
    <row r="684">
      <c r="A684" s="38"/>
      <c r="B684" s="38"/>
      <c r="C684" s="38"/>
      <c r="D684" s="38"/>
      <c r="E684" s="38"/>
      <c r="G684" s="38"/>
    </row>
    <row r="685">
      <c r="A685" s="38"/>
      <c r="B685" s="38"/>
      <c r="C685" s="38"/>
      <c r="D685" s="38"/>
      <c r="E685" s="38"/>
      <c r="G685" s="38"/>
    </row>
    <row r="686">
      <c r="A686" s="38"/>
      <c r="B686" s="38"/>
      <c r="C686" s="38"/>
      <c r="D686" s="38"/>
      <c r="E686" s="38"/>
      <c r="G686" s="38"/>
    </row>
    <row r="687">
      <c r="A687" s="38"/>
      <c r="B687" s="38"/>
      <c r="C687" s="38"/>
      <c r="D687" s="38"/>
      <c r="E687" s="38"/>
      <c r="G687" s="38"/>
    </row>
    <row r="688">
      <c r="A688" s="38"/>
      <c r="B688" s="38"/>
      <c r="C688" s="38"/>
      <c r="D688" s="38"/>
      <c r="E688" s="38"/>
      <c r="G688" s="38"/>
    </row>
    <row r="689">
      <c r="A689" s="38"/>
      <c r="B689" s="38"/>
      <c r="C689" s="38"/>
      <c r="D689" s="38"/>
      <c r="E689" s="38"/>
      <c r="G689" s="38"/>
    </row>
    <row r="690">
      <c r="A690" s="38"/>
      <c r="B690" s="38"/>
      <c r="C690" s="38"/>
      <c r="D690" s="38"/>
      <c r="E690" s="38"/>
      <c r="G690" s="38"/>
    </row>
    <row r="691">
      <c r="A691" s="38"/>
      <c r="B691" s="38"/>
      <c r="C691" s="38"/>
      <c r="D691" s="38"/>
      <c r="E691" s="38"/>
      <c r="G691" s="38"/>
    </row>
    <row r="692">
      <c r="A692" s="38"/>
      <c r="B692" s="38"/>
      <c r="C692" s="38"/>
      <c r="D692" s="38"/>
      <c r="E692" s="38"/>
      <c r="G692" s="38"/>
    </row>
    <row r="693">
      <c r="A693" s="38"/>
      <c r="B693" s="38"/>
      <c r="C693" s="38"/>
      <c r="D693" s="38"/>
      <c r="E693" s="38"/>
      <c r="G693" s="38"/>
    </row>
    <row r="694">
      <c r="A694" s="38"/>
      <c r="B694" s="38"/>
      <c r="C694" s="38"/>
      <c r="D694" s="38"/>
      <c r="E694" s="38"/>
      <c r="G694" s="38"/>
    </row>
    <row r="695">
      <c r="A695" s="38"/>
      <c r="B695" s="38"/>
      <c r="C695" s="38"/>
      <c r="D695" s="38"/>
      <c r="E695" s="38"/>
      <c r="G695" s="38"/>
    </row>
    <row r="696">
      <c r="A696" s="38"/>
      <c r="B696" s="38"/>
      <c r="C696" s="38"/>
      <c r="D696" s="38"/>
      <c r="E696" s="38"/>
      <c r="G696" s="38"/>
    </row>
    <row r="697">
      <c r="A697" s="38"/>
      <c r="B697" s="38"/>
      <c r="C697" s="38"/>
      <c r="D697" s="38"/>
      <c r="E697" s="38"/>
      <c r="G697" s="38"/>
    </row>
    <row r="698">
      <c r="A698" s="38"/>
      <c r="B698" s="38"/>
      <c r="C698" s="38"/>
      <c r="D698" s="38"/>
      <c r="E698" s="38"/>
      <c r="G698" s="38"/>
    </row>
    <row r="699">
      <c r="A699" s="38"/>
      <c r="B699" s="38"/>
      <c r="C699" s="38"/>
      <c r="D699" s="38"/>
      <c r="E699" s="38"/>
      <c r="G699" s="38"/>
    </row>
    <row r="700">
      <c r="A700" s="38"/>
      <c r="B700" s="38"/>
      <c r="C700" s="38"/>
      <c r="D700" s="38"/>
      <c r="E700" s="38"/>
      <c r="G700" s="38"/>
    </row>
    <row r="701">
      <c r="A701" s="38"/>
      <c r="B701" s="38"/>
      <c r="C701" s="38"/>
      <c r="D701" s="38"/>
      <c r="E701" s="38"/>
      <c r="G701" s="38"/>
    </row>
    <row r="702">
      <c r="A702" s="38"/>
      <c r="B702" s="38"/>
      <c r="C702" s="38"/>
      <c r="D702" s="38"/>
      <c r="E702" s="38"/>
      <c r="G702" s="38"/>
    </row>
    <row r="703">
      <c r="A703" s="38"/>
      <c r="B703" s="38"/>
      <c r="C703" s="38"/>
      <c r="D703" s="38"/>
      <c r="E703" s="38"/>
      <c r="G703" s="38"/>
    </row>
    <row r="704">
      <c r="A704" s="38"/>
      <c r="B704" s="38"/>
      <c r="C704" s="38"/>
      <c r="D704" s="38"/>
      <c r="E704" s="38"/>
      <c r="G704" s="38"/>
    </row>
    <row r="705">
      <c r="A705" s="38"/>
      <c r="B705" s="38"/>
      <c r="C705" s="38"/>
      <c r="D705" s="38"/>
      <c r="E705" s="38"/>
      <c r="G705" s="38"/>
    </row>
    <row r="706">
      <c r="A706" s="38"/>
      <c r="B706" s="38"/>
      <c r="C706" s="38"/>
      <c r="D706" s="38"/>
      <c r="E706" s="38"/>
      <c r="G706" s="38"/>
    </row>
    <row r="707">
      <c r="A707" s="38"/>
      <c r="B707" s="38"/>
      <c r="C707" s="38"/>
      <c r="D707" s="38"/>
      <c r="E707" s="38"/>
      <c r="G707" s="38"/>
    </row>
    <row r="708">
      <c r="A708" s="38"/>
      <c r="B708" s="38"/>
      <c r="C708" s="38"/>
      <c r="D708" s="38"/>
      <c r="E708" s="38"/>
      <c r="G708" s="38"/>
    </row>
    <row r="709">
      <c r="A709" s="38"/>
      <c r="B709" s="38"/>
      <c r="C709" s="38"/>
      <c r="D709" s="38"/>
      <c r="E709" s="38"/>
      <c r="G709" s="38"/>
    </row>
    <row r="710">
      <c r="A710" s="38"/>
      <c r="B710" s="38"/>
      <c r="C710" s="38"/>
      <c r="D710" s="38"/>
      <c r="E710" s="38"/>
      <c r="G710" s="38"/>
    </row>
    <row r="711">
      <c r="A711" s="38"/>
      <c r="B711" s="38"/>
      <c r="C711" s="38"/>
      <c r="D711" s="38"/>
      <c r="E711" s="38"/>
      <c r="G711" s="38"/>
    </row>
    <row r="712">
      <c r="A712" s="38"/>
      <c r="B712" s="38"/>
      <c r="C712" s="38"/>
      <c r="D712" s="38"/>
      <c r="E712" s="38"/>
      <c r="G712" s="38"/>
    </row>
    <row r="713">
      <c r="A713" s="38"/>
      <c r="B713" s="38"/>
      <c r="C713" s="38"/>
      <c r="D713" s="38"/>
      <c r="E713" s="38"/>
      <c r="G713" s="38"/>
    </row>
    <row r="714">
      <c r="A714" s="38"/>
      <c r="B714" s="38"/>
      <c r="C714" s="38"/>
      <c r="D714" s="38"/>
      <c r="E714" s="38"/>
      <c r="G714" s="38"/>
    </row>
    <row r="715">
      <c r="A715" s="38"/>
      <c r="B715" s="38"/>
      <c r="C715" s="38"/>
      <c r="D715" s="38"/>
      <c r="E715" s="38"/>
      <c r="G715" s="38"/>
    </row>
    <row r="716">
      <c r="A716" s="38"/>
      <c r="B716" s="38"/>
      <c r="C716" s="38"/>
      <c r="D716" s="38"/>
      <c r="E716" s="38"/>
      <c r="G716" s="38"/>
    </row>
    <row r="717">
      <c r="A717" s="38"/>
      <c r="B717" s="38"/>
      <c r="C717" s="38"/>
      <c r="D717" s="38"/>
      <c r="E717" s="38"/>
      <c r="G717" s="38"/>
    </row>
    <row r="718">
      <c r="A718" s="38"/>
      <c r="B718" s="38"/>
      <c r="C718" s="38"/>
      <c r="D718" s="38"/>
      <c r="E718" s="38"/>
      <c r="G718" s="38"/>
    </row>
    <row r="719">
      <c r="A719" s="38"/>
      <c r="B719" s="38"/>
      <c r="C719" s="38"/>
      <c r="D719" s="38"/>
      <c r="E719" s="38"/>
      <c r="G719" s="38"/>
    </row>
    <row r="720">
      <c r="A720" s="38"/>
      <c r="B720" s="38"/>
      <c r="C720" s="38"/>
      <c r="D720" s="38"/>
      <c r="E720" s="38"/>
      <c r="G720" s="38"/>
    </row>
    <row r="721">
      <c r="A721" s="38"/>
      <c r="B721" s="38"/>
      <c r="C721" s="38"/>
      <c r="D721" s="38"/>
      <c r="E721" s="38"/>
      <c r="G721" s="38"/>
    </row>
    <row r="722">
      <c r="A722" s="38"/>
      <c r="B722" s="38"/>
      <c r="C722" s="38"/>
      <c r="D722" s="38"/>
      <c r="E722" s="38"/>
      <c r="G722" s="38"/>
    </row>
    <row r="723">
      <c r="A723" s="38"/>
      <c r="B723" s="38"/>
      <c r="C723" s="38"/>
      <c r="D723" s="38"/>
      <c r="E723" s="38"/>
      <c r="G723" s="38"/>
    </row>
    <row r="724">
      <c r="A724" s="38"/>
      <c r="B724" s="38"/>
      <c r="C724" s="38"/>
      <c r="D724" s="38"/>
      <c r="E724" s="38"/>
      <c r="G724" s="38"/>
    </row>
    <row r="725">
      <c r="A725" s="38"/>
      <c r="B725" s="38"/>
      <c r="C725" s="38"/>
      <c r="D725" s="38"/>
      <c r="E725" s="38"/>
      <c r="G725" s="38"/>
    </row>
    <row r="726">
      <c r="A726" s="38"/>
      <c r="B726" s="38"/>
      <c r="C726" s="38"/>
      <c r="D726" s="38"/>
      <c r="E726" s="38"/>
      <c r="G726" s="38"/>
    </row>
    <row r="727">
      <c r="A727" s="38"/>
      <c r="B727" s="38"/>
      <c r="C727" s="38"/>
      <c r="D727" s="38"/>
      <c r="E727" s="38"/>
      <c r="G727" s="38"/>
    </row>
    <row r="728">
      <c r="A728" s="38"/>
      <c r="B728" s="38"/>
      <c r="C728" s="38"/>
      <c r="D728" s="38"/>
      <c r="E728" s="38"/>
      <c r="G728" s="38"/>
    </row>
    <row r="729">
      <c r="A729" s="38"/>
      <c r="B729" s="38"/>
      <c r="C729" s="38"/>
      <c r="D729" s="38"/>
      <c r="E729" s="38"/>
      <c r="G729" s="38"/>
    </row>
    <row r="730">
      <c r="A730" s="38"/>
      <c r="B730" s="38"/>
      <c r="C730" s="38"/>
      <c r="D730" s="38"/>
      <c r="E730" s="38"/>
      <c r="G730" s="38"/>
    </row>
    <row r="731">
      <c r="A731" s="38"/>
      <c r="B731" s="38"/>
      <c r="C731" s="38"/>
      <c r="D731" s="38"/>
      <c r="E731" s="38"/>
      <c r="G731" s="38"/>
    </row>
    <row r="732">
      <c r="A732" s="38"/>
      <c r="B732" s="38"/>
      <c r="C732" s="38"/>
      <c r="D732" s="38"/>
      <c r="E732" s="38"/>
      <c r="G732" s="38"/>
    </row>
    <row r="733">
      <c r="A733" s="38"/>
      <c r="B733" s="38"/>
      <c r="C733" s="38"/>
      <c r="D733" s="38"/>
      <c r="E733" s="38"/>
      <c r="G733" s="38"/>
    </row>
    <row r="734">
      <c r="A734" s="38"/>
      <c r="B734" s="38"/>
      <c r="C734" s="38"/>
      <c r="D734" s="38"/>
      <c r="E734" s="38"/>
      <c r="G734" s="38"/>
    </row>
    <row r="735">
      <c r="A735" s="38"/>
      <c r="B735" s="38"/>
      <c r="C735" s="38"/>
      <c r="D735" s="38"/>
      <c r="E735" s="38"/>
      <c r="G735" s="38"/>
    </row>
    <row r="736">
      <c r="A736" s="38"/>
      <c r="B736" s="38"/>
      <c r="C736" s="38"/>
      <c r="D736" s="38"/>
      <c r="E736" s="38"/>
      <c r="G736" s="38"/>
    </row>
    <row r="737">
      <c r="A737" s="38"/>
      <c r="B737" s="38"/>
      <c r="C737" s="38"/>
      <c r="D737" s="38"/>
      <c r="E737" s="38"/>
      <c r="G737" s="38"/>
    </row>
    <row r="738">
      <c r="A738" s="38"/>
      <c r="B738" s="38"/>
      <c r="C738" s="38"/>
      <c r="D738" s="38"/>
      <c r="E738" s="38"/>
      <c r="G738" s="38"/>
    </row>
    <row r="739">
      <c r="A739" s="38"/>
      <c r="B739" s="38"/>
      <c r="C739" s="38"/>
      <c r="D739" s="38"/>
      <c r="E739" s="38"/>
      <c r="G739" s="38"/>
    </row>
    <row r="740">
      <c r="A740" s="38"/>
      <c r="B740" s="38"/>
      <c r="C740" s="38"/>
      <c r="D740" s="38"/>
      <c r="E740" s="38"/>
      <c r="G740" s="38"/>
    </row>
    <row r="741">
      <c r="A741" s="38"/>
      <c r="B741" s="38"/>
      <c r="C741" s="38"/>
      <c r="D741" s="38"/>
      <c r="E741" s="38"/>
      <c r="G741" s="38"/>
    </row>
    <row r="742">
      <c r="A742" s="38"/>
      <c r="B742" s="38"/>
      <c r="C742" s="38"/>
      <c r="D742" s="38"/>
      <c r="E742" s="38"/>
      <c r="G742" s="38"/>
    </row>
    <row r="743">
      <c r="A743" s="38"/>
      <c r="B743" s="38"/>
      <c r="C743" s="38"/>
      <c r="D743" s="38"/>
      <c r="E743" s="38"/>
      <c r="G743" s="38"/>
    </row>
    <row r="744">
      <c r="A744" s="38"/>
      <c r="B744" s="38"/>
      <c r="C744" s="38"/>
      <c r="D744" s="38"/>
      <c r="E744" s="38"/>
      <c r="G744" s="38"/>
    </row>
    <row r="745">
      <c r="A745" s="38"/>
      <c r="B745" s="38"/>
      <c r="C745" s="38"/>
      <c r="D745" s="38"/>
      <c r="E745" s="38"/>
      <c r="G745" s="38"/>
    </row>
    <row r="746">
      <c r="A746" s="38"/>
      <c r="B746" s="38"/>
      <c r="C746" s="38"/>
      <c r="D746" s="38"/>
      <c r="E746" s="38"/>
      <c r="G746" s="38"/>
    </row>
    <row r="747">
      <c r="A747" s="38"/>
      <c r="B747" s="38"/>
      <c r="C747" s="38"/>
      <c r="D747" s="38"/>
      <c r="E747" s="38"/>
      <c r="G747" s="38"/>
    </row>
    <row r="748">
      <c r="A748" s="38"/>
      <c r="B748" s="38"/>
      <c r="C748" s="38"/>
      <c r="D748" s="38"/>
      <c r="E748" s="38"/>
      <c r="G748" s="38"/>
    </row>
    <row r="749">
      <c r="A749" s="38"/>
      <c r="B749" s="38"/>
      <c r="C749" s="38"/>
      <c r="D749" s="38"/>
      <c r="E749" s="38"/>
      <c r="G749" s="38"/>
    </row>
    <row r="750">
      <c r="A750" s="38"/>
      <c r="B750" s="38"/>
      <c r="C750" s="38"/>
      <c r="D750" s="38"/>
      <c r="E750" s="38"/>
      <c r="G750" s="38"/>
    </row>
    <row r="751">
      <c r="A751" s="38"/>
      <c r="B751" s="38"/>
      <c r="C751" s="38"/>
      <c r="D751" s="38"/>
      <c r="E751" s="38"/>
      <c r="G751" s="38"/>
    </row>
    <row r="752">
      <c r="A752" s="38"/>
      <c r="B752" s="38"/>
      <c r="C752" s="38"/>
      <c r="D752" s="38"/>
      <c r="E752" s="38"/>
      <c r="G752" s="38"/>
    </row>
    <row r="753">
      <c r="A753" s="38"/>
      <c r="B753" s="38"/>
      <c r="C753" s="38"/>
      <c r="D753" s="38"/>
      <c r="E753" s="38"/>
      <c r="G753" s="38"/>
    </row>
    <row r="754">
      <c r="A754" s="38"/>
      <c r="B754" s="38"/>
      <c r="C754" s="38"/>
      <c r="D754" s="38"/>
      <c r="E754" s="38"/>
      <c r="G754" s="38"/>
    </row>
    <row r="755">
      <c r="A755" s="38"/>
      <c r="B755" s="38"/>
      <c r="C755" s="38"/>
      <c r="D755" s="38"/>
      <c r="E755" s="38"/>
      <c r="G755" s="38"/>
    </row>
    <row r="756">
      <c r="A756" s="38"/>
      <c r="B756" s="38"/>
      <c r="C756" s="38"/>
      <c r="D756" s="38"/>
      <c r="E756" s="38"/>
      <c r="G756" s="38"/>
    </row>
    <row r="757">
      <c r="A757" s="38"/>
      <c r="B757" s="38"/>
      <c r="C757" s="38"/>
      <c r="D757" s="38"/>
      <c r="E757" s="38"/>
      <c r="G757" s="38"/>
    </row>
    <row r="758">
      <c r="A758" s="38"/>
      <c r="B758" s="38"/>
      <c r="C758" s="38"/>
      <c r="D758" s="38"/>
      <c r="E758" s="38"/>
      <c r="G758" s="38"/>
    </row>
    <row r="759">
      <c r="A759" s="38"/>
      <c r="B759" s="38"/>
      <c r="C759" s="38"/>
      <c r="D759" s="38"/>
      <c r="E759" s="38"/>
      <c r="G759" s="38"/>
    </row>
    <row r="760">
      <c r="A760" s="38"/>
      <c r="B760" s="38"/>
      <c r="C760" s="38"/>
      <c r="D760" s="38"/>
      <c r="E760" s="38"/>
      <c r="G760" s="38"/>
    </row>
    <row r="761">
      <c r="A761" s="38"/>
      <c r="B761" s="38"/>
      <c r="C761" s="38"/>
      <c r="D761" s="38"/>
      <c r="E761" s="38"/>
      <c r="G761" s="38"/>
    </row>
    <row r="762">
      <c r="A762" s="38"/>
      <c r="B762" s="38"/>
      <c r="C762" s="38"/>
      <c r="D762" s="38"/>
      <c r="E762" s="38"/>
      <c r="G762" s="38"/>
    </row>
    <row r="763">
      <c r="A763" s="38"/>
      <c r="B763" s="38"/>
      <c r="C763" s="38"/>
      <c r="D763" s="38"/>
      <c r="E763" s="38"/>
      <c r="G763" s="38"/>
    </row>
    <row r="764">
      <c r="A764" s="38"/>
      <c r="B764" s="38"/>
      <c r="C764" s="38"/>
      <c r="D764" s="38"/>
      <c r="E764" s="38"/>
      <c r="G764" s="38"/>
    </row>
    <row r="765">
      <c r="A765" s="38"/>
      <c r="B765" s="38"/>
      <c r="C765" s="38"/>
      <c r="D765" s="38"/>
      <c r="E765" s="38"/>
      <c r="G765" s="38"/>
    </row>
    <row r="766">
      <c r="A766" s="38"/>
      <c r="B766" s="38"/>
      <c r="C766" s="38"/>
      <c r="D766" s="38"/>
      <c r="E766" s="38"/>
      <c r="G766" s="38"/>
    </row>
    <row r="767">
      <c r="A767" s="38"/>
      <c r="B767" s="38"/>
      <c r="C767" s="38"/>
      <c r="D767" s="38"/>
      <c r="E767" s="38"/>
      <c r="G767" s="38"/>
    </row>
    <row r="768">
      <c r="A768" s="38"/>
      <c r="B768" s="38"/>
      <c r="C768" s="38"/>
      <c r="D768" s="38"/>
      <c r="E768" s="38"/>
      <c r="G768" s="38"/>
    </row>
    <row r="769">
      <c r="A769" s="38"/>
      <c r="B769" s="38"/>
      <c r="C769" s="38"/>
      <c r="D769" s="38"/>
      <c r="E769" s="38"/>
      <c r="G769" s="38"/>
    </row>
    <row r="770">
      <c r="A770" s="38"/>
      <c r="B770" s="38"/>
      <c r="C770" s="38"/>
      <c r="D770" s="38"/>
      <c r="E770" s="38"/>
      <c r="G770" s="38"/>
    </row>
    <row r="771">
      <c r="A771" s="38"/>
      <c r="B771" s="38"/>
      <c r="C771" s="38"/>
      <c r="D771" s="38"/>
      <c r="E771" s="38"/>
      <c r="G771" s="38"/>
    </row>
    <row r="772">
      <c r="A772" s="38"/>
      <c r="B772" s="38"/>
      <c r="C772" s="38"/>
      <c r="D772" s="38"/>
      <c r="E772" s="38"/>
      <c r="G772" s="38"/>
    </row>
    <row r="773">
      <c r="A773" s="38"/>
      <c r="B773" s="38"/>
      <c r="C773" s="38"/>
      <c r="D773" s="38"/>
      <c r="E773" s="38"/>
      <c r="G773" s="38"/>
    </row>
    <row r="774">
      <c r="A774" s="38"/>
      <c r="B774" s="38"/>
      <c r="C774" s="38"/>
      <c r="D774" s="38"/>
      <c r="E774" s="38"/>
      <c r="G774" s="38"/>
    </row>
    <row r="775">
      <c r="A775" s="38"/>
      <c r="B775" s="38"/>
      <c r="C775" s="38"/>
      <c r="D775" s="38"/>
      <c r="E775" s="38"/>
      <c r="G775" s="38"/>
    </row>
    <row r="776">
      <c r="A776" s="38"/>
      <c r="B776" s="38"/>
      <c r="C776" s="38"/>
      <c r="D776" s="38"/>
      <c r="E776" s="38"/>
      <c r="G776" s="38"/>
    </row>
    <row r="777">
      <c r="A777" s="38"/>
      <c r="B777" s="38"/>
      <c r="C777" s="38"/>
      <c r="D777" s="38"/>
      <c r="E777" s="38"/>
      <c r="G777" s="38"/>
    </row>
    <row r="778">
      <c r="A778" s="38"/>
      <c r="B778" s="38"/>
      <c r="C778" s="38"/>
      <c r="D778" s="38"/>
      <c r="E778" s="38"/>
      <c r="G778" s="38"/>
    </row>
    <row r="779">
      <c r="A779" s="38"/>
      <c r="B779" s="38"/>
      <c r="C779" s="38"/>
      <c r="D779" s="38"/>
      <c r="E779" s="38"/>
      <c r="G779" s="38"/>
    </row>
    <row r="780">
      <c r="A780" s="38"/>
      <c r="B780" s="38"/>
      <c r="C780" s="38"/>
      <c r="D780" s="38"/>
      <c r="E780" s="38"/>
      <c r="G780" s="38"/>
    </row>
    <row r="781">
      <c r="A781" s="38"/>
      <c r="B781" s="38"/>
      <c r="C781" s="38"/>
      <c r="D781" s="38"/>
      <c r="E781" s="38"/>
      <c r="G781" s="38"/>
    </row>
    <row r="782">
      <c r="A782" s="38"/>
      <c r="B782" s="38"/>
      <c r="C782" s="38"/>
      <c r="D782" s="38"/>
      <c r="E782" s="38"/>
      <c r="G782" s="38"/>
    </row>
    <row r="783">
      <c r="A783" s="38"/>
      <c r="B783" s="38"/>
      <c r="C783" s="38"/>
      <c r="D783" s="38"/>
      <c r="E783" s="38"/>
      <c r="G783" s="38"/>
    </row>
    <row r="784">
      <c r="A784" s="38"/>
      <c r="B784" s="38"/>
      <c r="C784" s="38"/>
      <c r="D784" s="38"/>
      <c r="E784" s="38"/>
      <c r="G784" s="38"/>
    </row>
    <row r="785">
      <c r="A785" s="38"/>
      <c r="B785" s="38"/>
      <c r="C785" s="38"/>
      <c r="D785" s="38"/>
      <c r="E785" s="38"/>
      <c r="G785" s="38"/>
    </row>
    <row r="786">
      <c r="A786" s="38"/>
      <c r="B786" s="38"/>
      <c r="C786" s="38"/>
      <c r="D786" s="38"/>
      <c r="E786" s="38"/>
      <c r="G786" s="38"/>
    </row>
    <row r="787">
      <c r="A787" s="38"/>
      <c r="B787" s="38"/>
      <c r="C787" s="38"/>
      <c r="D787" s="38"/>
      <c r="E787" s="38"/>
      <c r="G787" s="38"/>
    </row>
    <row r="788">
      <c r="A788" s="38"/>
      <c r="B788" s="38"/>
      <c r="C788" s="38"/>
      <c r="D788" s="38"/>
      <c r="E788" s="38"/>
      <c r="G788" s="38"/>
    </row>
    <row r="789">
      <c r="A789" s="38"/>
      <c r="B789" s="38"/>
      <c r="C789" s="38"/>
      <c r="D789" s="38"/>
      <c r="E789" s="38"/>
      <c r="G789" s="38"/>
    </row>
    <row r="790">
      <c r="A790" s="38"/>
      <c r="B790" s="38"/>
      <c r="C790" s="38"/>
      <c r="D790" s="38"/>
      <c r="E790" s="38"/>
      <c r="G790" s="38"/>
    </row>
    <row r="791">
      <c r="A791" s="38"/>
      <c r="B791" s="38"/>
      <c r="C791" s="38"/>
      <c r="D791" s="38"/>
      <c r="E791" s="38"/>
      <c r="G791" s="38"/>
    </row>
    <row r="792">
      <c r="A792" s="38"/>
      <c r="B792" s="38"/>
      <c r="C792" s="38"/>
      <c r="D792" s="38"/>
      <c r="E792" s="38"/>
      <c r="G792" s="38"/>
    </row>
    <row r="793">
      <c r="A793" s="38"/>
      <c r="B793" s="38"/>
      <c r="C793" s="38"/>
      <c r="D793" s="38"/>
      <c r="E793" s="38"/>
      <c r="G793" s="38"/>
    </row>
    <row r="794">
      <c r="A794" s="38"/>
      <c r="B794" s="38"/>
      <c r="C794" s="38"/>
      <c r="D794" s="38"/>
      <c r="E794" s="38"/>
      <c r="G794" s="38"/>
    </row>
    <row r="795">
      <c r="A795" s="38"/>
      <c r="B795" s="38"/>
      <c r="C795" s="38"/>
      <c r="D795" s="38"/>
      <c r="E795" s="38"/>
      <c r="G795" s="38"/>
    </row>
    <row r="796">
      <c r="A796" s="38"/>
      <c r="B796" s="38"/>
      <c r="C796" s="38"/>
      <c r="D796" s="38"/>
      <c r="E796" s="38"/>
      <c r="G796" s="38"/>
    </row>
    <row r="797">
      <c r="A797" s="38"/>
      <c r="B797" s="38"/>
      <c r="C797" s="38"/>
      <c r="D797" s="38"/>
      <c r="E797" s="38"/>
      <c r="G797" s="38"/>
    </row>
    <row r="798">
      <c r="A798" s="38"/>
      <c r="B798" s="38"/>
      <c r="C798" s="38"/>
      <c r="D798" s="38"/>
      <c r="E798" s="38"/>
      <c r="G798" s="38"/>
    </row>
    <row r="799">
      <c r="A799" s="38"/>
      <c r="B799" s="38"/>
      <c r="C799" s="38"/>
      <c r="D799" s="38"/>
      <c r="E799" s="38"/>
      <c r="G799" s="38"/>
    </row>
    <row r="800">
      <c r="A800" s="38"/>
      <c r="B800" s="38"/>
      <c r="C800" s="38"/>
      <c r="D800" s="38"/>
      <c r="E800" s="38"/>
      <c r="G800" s="38"/>
    </row>
    <row r="801">
      <c r="A801" s="38"/>
      <c r="B801" s="38"/>
      <c r="C801" s="38"/>
      <c r="D801" s="38"/>
      <c r="E801" s="38"/>
      <c r="G801" s="38"/>
    </row>
    <row r="802">
      <c r="A802" s="38"/>
      <c r="B802" s="38"/>
      <c r="C802" s="38"/>
      <c r="D802" s="38"/>
      <c r="E802" s="38"/>
      <c r="G802" s="38"/>
    </row>
    <row r="803">
      <c r="A803" s="38"/>
      <c r="B803" s="38"/>
      <c r="C803" s="38"/>
      <c r="D803" s="38"/>
      <c r="E803" s="38"/>
      <c r="G803" s="38"/>
    </row>
    <row r="804">
      <c r="A804" s="38"/>
      <c r="B804" s="38"/>
      <c r="C804" s="38"/>
      <c r="D804" s="38"/>
      <c r="E804" s="38"/>
      <c r="G804" s="38"/>
    </row>
    <row r="805">
      <c r="A805" s="38"/>
      <c r="B805" s="38"/>
      <c r="C805" s="38"/>
      <c r="D805" s="38"/>
      <c r="E805" s="38"/>
      <c r="G805" s="38"/>
    </row>
    <row r="806">
      <c r="A806" s="38"/>
      <c r="B806" s="38"/>
      <c r="C806" s="38"/>
      <c r="D806" s="38"/>
      <c r="E806" s="38"/>
      <c r="G806" s="38"/>
    </row>
    <row r="807">
      <c r="A807" s="38"/>
      <c r="B807" s="38"/>
      <c r="C807" s="38"/>
      <c r="D807" s="38"/>
      <c r="E807" s="38"/>
      <c r="G807" s="38"/>
    </row>
    <row r="808">
      <c r="A808" s="38"/>
      <c r="B808" s="38"/>
      <c r="C808" s="38"/>
      <c r="D808" s="38"/>
      <c r="E808" s="38"/>
      <c r="G808" s="38"/>
    </row>
    <row r="809">
      <c r="A809" s="38"/>
      <c r="B809" s="38"/>
      <c r="C809" s="38"/>
      <c r="D809" s="38"/>
      <c r="E809" s="38"/>
      <c r="G809" s="38"/>
    </row>
    <row r="810">
      <c r="A810" s="38"/>
      <c r="B810" s="38"/>
      <c r="C810" s="38"/>
      <c r="D810" s="38"/>
      <c r="E810" s="38"/>
      <c r="G810" s="38"/>
    </row>
    <row r="811">
      <c r="A811" s="38"/>
      <c r="B811" s="38"/>
      <c r="C811" s="38"/>
      <c r="D811" s="38"/>
      <c r="E811" s="38"/>
      <c r="G811" s="38"/>
    </row>
    <row r="812">
      <c r="A812" s="38"/>
      <c r="B812" s="38"/>
      <c r="C812" s="38"/>
      <c r="D812" s="38"/>
      <c r="E812" s="38"/>
      <c r="G812" s="38"/>
    </row>
    <row r="813">
      <c r="A813" s="38"/>
      <c r="B813" s="38"/>
      <c r="C813" s="38"/>
      <c r="D813" s="38"/>
      <c r="E813" s="38"/>
      <c r="G813" s="38"/>
    </row>
    <row r="814">
      <c r="A814" s="38"/>
      <c r="B814" s="38"/>
      <c r="C814" s="38"/>
      <c r="D814" s="38"/>
      <c r="E814" s="38"/>
      <c r="G814" s="38"/>
    </row>
    <row r="815">
      <c r="A815" s="38"/>
      <c r="B815" s="38"/>
      <c r="C815" s="38"/>
      <c r="D815" s="38"/>
      <c r="E815" s="38"/>
      <c r="G815" s="38"/>
    </row>
    <row r="816">
      <c r="A816" s="38"/>
      <c r="B816" s="38"/>
      <c r="C816" s="38"/>
      <c r="D816" s="38"/>
      <c r="E816" s="38"/>
      <c r="G816" s="38"/>
    </row>
    <row r="817">
      <c r="A817" s="38"/>
      <c r="B817" s="38"/>
      <c r="C817" s="38"/>
      <c r="D817" s="38"/>
      <c r="E817" s="38"/>
      <c r="G817" s="38"/>
    </row>
    <row r="818">
      <c r="A818" s="38"/>
      <c r="B818" s="38"/>
      <c r="C818" s="38"/>
      <c r="D818" s="38"/>
      <c r="E818" s="38"/>
      <c r="G818" s="38"/>
    </row>
    <row r="819">
      <c r="A819" s="38"/>
      <c r="B819" s="38"/>
      <c r="C819" s="38"/>
      <c r="D819" s="38"/>
      <c r="E819" s="38"/>
      <c r="G819" s="38"/>
    </row>
    <row r="820">
      <c r="A820" s="38"/>
      <c r="B820" s="38"/>
      <c r="C820" s="38"/>
      <c r="D820" s="38"/>
      <c r="E820" s="38"/>
      <c r="G820" s="38"/>
    </row>
    <row r="821">
      <c r="A821" s="38"/>
      <c r="B821" s="38"/>
      <c r="C821" s="38"/>
      <c r="D821" s="38"/>
      <c r="E821" s="38"/>
      <c r="G821" s="38"/>
    </row>
    <row r="822">
      <c r="A822" s="38"/>
      <c r="B822" s="38"/>
      <c r="C822" s="38"/>
      <c r="D822" s="38"/>
      <c r="E822" s="38"/>
      <c r="G822" s="38"/>
    </row>
    <row r="823">
      <c r="A823" s="38"/>
      <c r="B823" s="38"/>
      <c r="C823" s="38"/>
      <c r="D823" s="38"/>
      <c r="E823" s="38"/>
      <c r="G823" s="38"/>
    </row>
    <row r="824">
      <c r="A824" s="38"/>
      <c r="B824" s="38"/>
      <c r="C824" s="38"/>
      <c r="D824" s="38"/>
      <c r="E824" s="38"/>
      <c r="G824" s="38"/>
    </row>
    <row r="825">
      <c r="A825" s="38"/>
      <c r="B825" s="38"/>
      <c r="C825" s="38"/>
      <c r="D825" s="38"/>
      <c r="E825" s="38"/>
      <c r="G825" s="38"/>
    </row>
    <row r="826">
      <c r="A826" s="38"/>
      <c r="B826" s="38"/>
      <c r="C826" s="38"/>
      <c r="D826" s="38"/>
      <c r="E826" s="38"/>
      <c r="G826" s="38"/>
    </row>
    <row r="827">
      <c r="A827" s="38"/>
      <c r="B827" s="38"/>
      <c r="C827" s="38"/>
      <c r="D827" s="38"/>
      <c r="E827" s="38"/>
      <c r="G827" s="38"/>
    </row>
    <row r="828">
      <c r="A828" s="38"/>
      <c r="B828" s="38"/>
      <c r="C828" s="38"/>
      <c r="D828" s="38"/>
      <c r="E828" s="38"/>
      <c r="G828" s="38"/>
    </row>
    <row r="829">
      <c r="A829" s="38"/>
      <c r="B829" s="38"/>
      <c r="C829" s="38"/>
      <c r="D829" s="38"/>
      <c r="E829" s="38"/>
      <c r="G829" s="38"/>
    </row>
    <row r="830">
      <c r="A830" s="38"/>
      <c r="B830" s="38"/>
      <c r="C830" s="38"/>
      <c r="D830" s="38"/>
      <c r="E830" s="38"/>
      <c r="G830" s="38"/>
    </row>
    <row r="831">
      <c r="A831" s="38"/>
      <c r="B831" s="38"/>
      <c r="C831" s="38"/>
      <c r="D831" s="38"/>
      <c r="E831" s="38"/>
      <c r="G831" s="38"/>
    </row>
    <row r="832">
      <c r="A832" s="38"/>
      <c r="B832" s="38"/>
      <c r="C832" s="38"/>
      <c r="D832" s="38"/>
      <c r="E832" s="38"/>
      <c r="G832" s="38"/>
    </row>
    <row r="833">
      <c r="A833" s="38"/>
      <c r="B833" s="38"/>
      <c r="C833" s="38"/>
      <c r="D833" s="38"/>
      <c r="E833" s="38"/>
      <c r="G833" s="38"/>
    </row>
    <row r="834">
      <c r="A834" s="38"/>
      <c r="B834" s="38"/>
      <c r="C834" s="38"/>
      <c r="D834" s="38"/>
      <c r="E834" s="38"/>
      <c r="G834" s="38"/>
    </row>
    <row r="835">
      <c r="A835" s="38"/>
      <c r="B835" s="38"/>
      <c r="C835" s="38"/>
      <c r="D835" s="38"/>
      <c r="E835" s="38"/>
      <c r="G835" s="38"/>
    </row>
    <row r="836">
      <c r="A836" s="38"/>
      <c r="B836" s="38"/>
      <c r="C836" s="38"/>
      <c r="D836" s="38"/>
      <c r="E836" s="38"/>
      <c r="G836" s="38"/>
    </row>
    <row r="837">
      <c r="A837" s="38"/>
      <c r="B837" s="38"/>
      <c r="C837" s="38"/>
      <c r="D837" s="38"/>
      <c r="E837" s="38"/>
      <c r="G837" s="38"/>
    </row>
    <row r="838">
      <c r="A838" s="38"/>
      <c r="B838" s="38"/>
      <c r="C838" s="38"/>
      <c r="D838" s="38"/>
      <c r="E838" s="38"/>
      <c r="G838" s="38"/>
    </row>
    <row r="839">
      <c r="A839" s="38"/>
      <c r="B839" s="38"/>
      <c r="C839" s="38"/>
      <c r="D839" s="38"/>
      <c r="E839" s="38"/>
      <c r="G839" s="38"/>
    </row>
    <row r="840">
      <c r="A840" s="38"/>
      <c r="B840" s="38"/>
      <c r="C840" s="38"/>
      <c r="D840" s="38"/>
      <c r="E840" s="38"/>
      <c r="G840" s="38"/>
    </row>
    <row r="841">
      <c r="A841" s="38"/>
      <c r="B841" s="38"/>
      <c r="C841" s="38"/>
      <c r="D841" s="38"/>
      <c r="E841" s="38"/>
      <c r="G841" s="38"/>
    </row>
    <row r="842">
      <c r="A842" s="38"/>
      <c r="B842" s="38"/>
      <c r="C842" s="38"/>
      <c r="D842" s="38"/>
      <c r="E842" s="38"/>
      <c r="G842" s="38"/>
    </row>
    <row r="843">
      <c r="A843" s="38"/>
      <c r="B843" s="38"/>
      <c r="C843" s="38"/>
      <c r="D843" s="38"/>
      <c r="E843" s="38"/>
      <c r="G843" s="38"/>
    </row>
    <row r="844">
      <c r="A844" s="38"/>
      <c r="B844" s="38"/>
      <c r="C844" s="38"/>
      <c r="D844" s="38"/>
      <c r="E844" s="38"/>
      <c r="G844" s="38"/>
    </row>
    <row r="845">
      <c r="A845" s="38"/>
      <c r="B845" s="38"/>
      <c r="C845" s="38"/>
      <c r="D845" s="38"/>
      <c r="E845" s="38"/>
      <c r="G845" s="38"/>
    </row>
    <row r="846">
      <c r="A846" s="38"/>
      <c r="B846" s="38"/>
      <c r="C846" s="38"/>
      <c r="D846" s="38"/>
      <c r="E846" s="38"/>
      <c r="G846" s="38"/>
    </row>
    <row r="847">
      <c r="A847" s="38"/>
      <c r="B847" s="38"/>
      <c r="C847" s="38"/>
      <c r="D847" s="38"/>
      <c r="E847" s="38"/>
      <c r="G847" s="38"/>
    </row>
    <row r="848">
      <c r="A848" s="38"/>
      <c r="B848" s="38"/>
      <c r="C848" s="38"/>
      <c r="D848" s="38"/>
      <c r="E848" s="38"/>
      <c r="G848" s="38"/>
    </row>
    <row r="849">
      <c r="A849" s="38"/>
      <c r="B849" s="38"/>
      <c r="C849" s="38"/>
      <c r="D849" s="38"/>
      <c r="E849" s="38"/>
      <c r="G849" s="38"/>
    </row>
    <row r="850">
      <c r="A850" s="38"/>
      <c r="B850" s="38"/>
      <c r="C850" s="38"/>
      <c r="D850" s="38"/>
      <c r="E850" s="38"/>
      <c r="G850" s="38"/>
    </row>
    <row r="851">
      <c r="A851" s="38"/>
      <c r="B851" s="38"/>
      <c r="C851" s="38"/>
      <c r="D851" s="38"/>
      <c r="E851" s="38"/>
      <c r="G851" s="38"/>
    </row>
    <row r="852">
      <c r="A852" s="38"/>
      <c r="B852" s="38"/>
      <c r="C852" s="38"/>
      <c r="D852" s="38"/>
      <c r="E852" s="38"/>
      <c r="G852" s="38"/>
    </row>
    <row r="853">
      <c r="A853" s="38"/>
      <c r="B853" s="38"/>
      <c r="C853" s="38"/>
      <c r="D853" s="38"/>
      <c r="E853" s="38"/>
      <c r="G853" s="38"/>
    </row>
    <row r="854">
      <c r="A854" s="38"/>
      <c r="B854" s="38"/>
      <c r="C854" s="38"/>
      <c r="D854" s="38"/>
      <c r="E854" s="38"/>
      <c r="G854" s="38"/>
    </row>
    <row r="855">
      <c r="A855" s="38"/>
      <c r="B855" s="38"/>
      <c r="C855" s="38"/>
      <c r="D855" s="38"/>
      <c r="E855" s="38"/>
      <c r="G855" s="38"/>
    </row>
    <row r="856">
      <c r="A856" s="38"/>
      <c r="B856" s="38"/>
      <c r="C856" s="38"/>
      <c r="D856" s="38"/>
      <c r="E856" s="38"/>
      <c r="G856" s="38"/>
    </row>
    <row r="857">
      <c r="A857" s="38"/>
      <c r="B857" s="38"/>
      <c r="C857" s="38"/>
      <c r="D857" s="38"/>
      <c r="E857" s="38"/>
      <c r="G857" s="38"/>
    </row>
    <row r="858">
      <c r="A858" s="38"/>
      <c r="B858" s="38"/>
      <c r="C858" s="38"/>
      <c r="D858" s="38"/>
      <c r="E858" s="38"/>
      <c r="G858" s="38"/>
    </row>
    <row r="859">
      <c r="A859" s="38"/>
      <c r="B859" s="38"/>
      <c r="C859" s="38"/>
      <c r="D859" s="38"/>
      <c r="E859" s="38"/>
      <c r="G859" s="38"/>
    </row>
    <row r="860">
      <c r="A860" s="38"/>
      <c r="B860" s="38"/>
      <c r="C860" s="38"/>
      <c r="D860" s="38"/>
      <c r="E860" s="38"/>
      <c r="G860" s="38"/>
    </row>
    <row r="861">
      <c r="A861" s="38"/>
      <c r="B861" s="38"/>
      <c r="C861" s="38"/>
      <c r="D861" s="38"/>
      <c r="E861" s="38"/>
      <c r="G861" s="38"/>
    </row>
    <row r="862">
      <c r="A862" s="38"/>
      <c r="B862" s="38"/>
      <c r="C862" s="38"/>
      <c r="D862" s="38"/>
      <c r="E862" s="38"/>
      <c r="G862" s="38"/>
    </row>
    <row r="863">
      <c r="A863" s="38"/>
      <c r="B863" s="38"/>
      <c r="C863" s="38"/>
      <c r="D863" s="38"/>
      <c r="E863" s="38"/>
      <c r="G863" s="38"/>
    </row>
    <row r="864">
      <c r="A864" s="38"/>
      <c r="B864" s="38"/>
      <c r="C864" s="38"/>
      <c r="D864" s="38"/>
      <c r="E864" s="38"/>
      <c r="G864" s="38"/>
    </row>
    <row r="865">
      <c r="A865" s="38"/>
      <c r="B865" s="38"/>
      <c r="C865" s="38"/>
      <c r="D865" s="38"/>
      <c r="E865" s="38"/>
      <c r="G865" s="38"/>
    </row>
    <row r="866">
      <c r="A866" s="38"/>
      <c r="B866" s="38"/>
      <c r="C866" s="38"/>
      <c r="D866" s="38"/>
      <c r="E866" s="38"/>
      <c r="G866" s="38"/>
    </row>
    <row r="867">
      <c r="A867" s="38"/>
      <c r="B867" s="38"/>
      <c r="C867" s="38"/>
      <c r="D867" s="38"/>
      <c r="E867" s="38"/>
      <c r="G867" s="38"/>
    </row>
    <row r="868">
      <c r="A868" s="38"/>
      <c r="B868" s="38"/>
      <c r="C868" s="38"/>
      <c r="D868" s="38"/>
      <c r="E868" s="38"/>
      <c r="G868" s="38"/>
    </row>
    <row r="869">
      <c r="A869" s="38"/>
      <c r="B869" s="38"/>
      <c r="C869" s="38"/>
      <c r="D869" s="38"/>
      <c r="E869" s="38"/>
      <c r="G869" s="38"/>
    </row>
    <row r="870">
      <c r="A870" s="38"/>
      <c r="B870" s="38"/>
      <c r="C870" s="38"/>
      <c r="D870" s="38"/>
      <c r="E870" s="38"/>
      <c r="G870" s="38"/>
    </row>
    <row r="871">
      <c r="A871" s="38"/>
      <c r="B871" s="38"/>
      <c r="C871" s="38"/>
      <c r="D871" s="38"/>
      <c r="E871" s="38"/>
      <c r="G871" s="38"/>
    </row>
    <row r="872">
      <c r="A872" s="38"/>
      <c r="B872" s="38"/>
      <c r="C872" s="38"/>
      <c r="D872" s="38"/>
      <c r="E872" s="38"/>
      <c r="G872" s="38"/>
    </row>
    <row r="873">
      <c r="A873" s="38"/>
      <c r="B873" s="38"/>
      <c r="C873" s="38"/>
      <c r="D873" s="38"/>
      <c r="E873" s="38"/>
      <c r="G873" s="38"/>
    </row>
    <row r="874">
      <c r="A874" s="38"/>
      <c r="B874" s="38"/>
      <c r="C874" s="38"/>
      <c r="D874" s="38"/>
      <c r="E874" s="38"/>
      <c r="G874" s="38"/>
    </row>
    <row r="875">
      <c r="A875" s="38"/>
      <c r="B875" s="38"/>
      <c r="C875" s="38"/>
      <c r="D875" s="38"/>
      <c r="E875" s="38"/>
      <c r="G875" s="38"/>
    </row>
    <row r="876">
      <c r="A876" s="38"/>
      <c r="B876" s="38"/>
      <c r="C876" s="38"/>
      <c r="D876" s="38"/>
      <c r="E876" s="38"/>
      <c r="G876" s="38"/>
    </row>
    <row r="877">
      <c r="A877" s="38"/>
      <c r="B877" s="38"/>
      <c r="C877" s="38"/>
      <c r="D877" s="38"/>
      <c r="E877" s="38"/>
      <c r="G877" s="38"/>
    </row>
    <row r="878">
      <c r="A878" s="38"/>
      <c r="B878" s="38"/>
      <c r="C878" s="38"/>
      <c r="D878" s="38"/>
      <c r="E878" s="38"/>
      <c r="G878" s="38"/>
    </row>
    <row r="879">
      <c r="A879" s="38"/>
      <c r="B879" s="38"/>
      <c r="C879" s="38"/>
      <c r="D879" s="38"/>
      <c r="E879" s="38"/>
      <c r="G879" s="38"/>
    </row>
    <row r="880">
      <c r="A880" s="38"/>
      <c r="B880" s="38"/>
      <c r="C880" s="38"/>
      <c r="D880" s="38"/>
      <c r="E880" s="38"/>
      <c r="G880" s="38"/>
    </row>
    <row r="881">
      <c r="A881" s="38"/>
      <c r="B881" s="38"/>
      <c r="C881" s="38"/>
      <c r="D881" s="38"/>
      <c r="E881" s="38"/>
      <c r="G881" s="38"/>
    </row>
    <row r="882">
      <c r="A882" s="38"/>
      <c r="B882" s="38"/>
      <c r="C882" s="38"/>
      <c r="D882" s="38"/>
      <c r="E882" s="38"/>
      <c r="G882" s="38"/>
    </row>
    <row r="883">
      <c r="A883" s="38"/>
      <c r="B883" s="38"/>
      <c r="C883" s="38"/>
      <c r="D883" s="38"/>
      <c r="E883" s="38"/>
      <c r="G883" s="38"/>
    </row>
    <row r="884">
      <c r="A884" s="38"/>
      <c r="B884" s="38"/>
      <c r="C884" s="38"/>
      <c r="D884" s="38"/>
      <c r="E884" s="38"/>
      <c r="G884" s="38"/>
    </row>
    <row r="885">
      <c r="A885" s="38"/>
      <c r="B885" s="38"/>
      <c r="C885" s="38"/>
      <c r="D885" s="38"/>
      <c r="E885" s="38"/>
      <c r="G885" s="38"/>
    </row>
    <row r="886">
      <c r="A886" s="38"/>
      <c r="B886" s="38"/>
      <c r="C886" s="38"/>
      <c r="D886" s="38"/>
      <c r="E886" s="38"/>
      <c r="G886" s="38"/>
    </row>
    <row r="887">
      <c r="A887" s="38"/>
      <c r="B887" s="38"/>
      <c r="C887" s="38"/>
      <c r="D887" s="38"/>
      <c r="E887" s="38"/>
      <c r="G887" s="38"/>
    </row>
    <row r="888">
      <c r="A888" s="38"/>
      <c r="B888" s="38"/>
      <c r="C888" s="38"/>
      <c r="D888" s="38"/>
      <c r="E888" s="38"/>
      <c r="G888" s="38"/>
    </row>
    <row r="889">
      <c r="A889" s="38"/>
      <c r="B889" s="38"/>
      <c r="C889" s="38"/>
      <c r="D889" s="38"/>
      <c r="E889" s="38"/>
      <c r="G889" s="38"/>
    </row>
    <row r="890">
      <c r="A890" s="38"/>
      <c r="B890" s="38"/>
      <c r="C890" s="38"/>
      <c r="D890" s="38"/>
      <c r="E890" s="38"/>
      <c r="G890" s="38"/>
    </row>
    <row r="891">
      <c r="A891" s="38"/>
      <c r="B891" s="38"/>
      <c r="C891" s="38"/>
      <c r="D891" s="38"/>
      <c r="E891" s="38"/>
      <c r="G891" s="38"/>
    </row>
    <row r="892">
      <c r="A892" s="38"/>
      <c r="B892" s="38"/>
      <c r="C892" s="38"/>
      <c r="D892" s="38"/>
      <c r="E892" s="38"/>
      <c r="G892" s="38"/>
    </row>
    <row r="893">
      <c r="A893" s="38"/>
      <c r="B893" s="38"/>
      <c r="C893" s="38"/>
      <c r="D893" s="38"/>
      <c r="E893" s="38"/>
      <c r="G893" s="38"/>
    </row>
    <row r="894">
      <c r="A894" s="38"/>
      <c r="B894" s="38"/>
      <c r="C894" s="38"/>
      <c r="D894" s="38"/>
      <c r="E894" s="38"/>
      <c r="G894" s="38"/>
    </row>
    <row r="895">
      <c r="A895" s="38"/>
      <c r="B895" s="38"/>
      <c r="C895" s="38"/>
      <c r="D895" s="38"/>
      <c r="E895" s="38"/>
      <c r="G895" s="38"/>
    </row>
    <row r="896">
      <c r="A896" s="38"/>
      <c r="B896" s="38"/>
      <c r="C896" s="38"/>
      <c r="D896" s="38"/>
      <c r="E896" s="38"/>
      <c r="G896" s="38"/>
    </row>
    <row r="897">
      <c r="A897" s="38"/>
      <c r="B897" s="38"/>
      <c r="C897" s="38"/>
      <c r="D897" s="38"/>
      <c r="E897" s="38"/>
      <c r="G897" s="38"/>
    </row>
    <row r="898">
      <c r="A898" s="38"/>
      <c r="B898" s="38"/>
      <c r="C898" s="38"/>
      <c r="D898" s="38"/>
      <c r="E898" s="38"/>
      <c r="G898" s="38"/>
    </row>
    <row r="899">
      <c r="A899" s="38"/>
      <c r="B899" s="38"/>
      <c r="C899" s="38"/>
      <c r="D899" s="38"/>
      <c r="E899" s="38"/>
      <c r="G899" s="38"/>
    </row>
    <row r="900">
      <c r="A900" s="38"/>
      <c r="B900" s="38"/>
      <c r="C900" s="38"/>
      <c r="D900" s="38"/>
      <c r="E900" s="38"/>
      <c r="G900" s="38"/>
    </row>
    <row r="901">
      <c r="A901" s="38"/>
      <c r="B901" s="38"/>
      <c r="C901" s="38"/>
      <c r="D901" s="38"/>
      <c r="E901" s="38"/>
      <c r="G901" s="38"/>
    </row>
    <row r="902">
      <c r="A902" s="38"/>
      <c r="B902" s="38"/>
      <c r="C902" s="38"/>
      <c r="D902" s="38"/>
      <c r="E902" s="38"/>
      <c r="G902" s="38"/>
    </row>
    <row r="903">
      <c r="A903" s="38"/>
      <c r="B903" s="38"/>
      <c r="C903" s="38"/>
      <c r="D903" s="38"/>
      <c r="E903" s="38"/>
      <c r="G903" s="38"/>
    </row>
    <row r="904">
      <c r="A904" s="38"/>
      <c r="B904" s="38"/>
      <c r="C904" s="38"/>
      <c r="D904" s="38"/>
      <c r="E904" s="38"/>
      <c r="G904" s="38"/>
    </row>
    <row r="905">
      <c r="A905" s="38"/>
      <c r="B905" s="38"/>
      <c r="C905" s="38"/>
      <c r="D905" s="38"/>
      <c r="E905" s="38"/>
      <c r="G905" s="38"/>
    </row>
    <row r="906">
      <c r="A906" s="38"/>
      <c r="B906" s="38"/>
      <c r="C906" s="38"/>
      <c r="D906" s="38"/>
      <c r="E906" s="38"/>
      <c r="G906" s="38"/>
    </row>
    <row r="907">
      <c r="A907" s="38"/>
      <c r="B907" s="38"/>
      <c r="C907" s="38"/>
      <c r="D907" s="38"/>
      <c r="E907" s="38"/>
      <c r="G907" s="38"/>
    </row>
    <row r="908">
      <c r="A908" s="38"/>
      <c r="B908" s="38"/>
      <c r="C908" s="38"/>
      <c r="D908" s="38"/>
      <c r="E908" s="38"/>
      <c r="G908" s="38"/>
    </row>
    <row r="909">
      <c r="A909" s="38"/>
      <c r="B909" s="38"/>
      <c r="C909" s="38"/>
      <c r="D909" s="38"/>
      <c r="E909" s="38"/>
      <c r="G909" s="38"/>
    </row>
    <row r="910">
      <c r="A910" s="38"/>
      <c r="B910" s="38"/>
      <c r="C910" s="38"/>
      <c r="D910" s="38"/>
      <c r="E910" s="38"/>
      <c r="G910" s="38"/>
    </row>
    <row r="911">
      <c r="A911" s="38"/>
      <c r="B911" s="38"/>
      <c r="C911" s="38"/>
      <c r="D911" s="38"/>
      <c r="E911" s="38"/>
      <c r="G911" s="38"/>
    </row>
    <row r="912">
      <c r="A912" s="38"/>
      <c r="B912" s="38"/>
      <c r="C912" s="38"/>
      <c r="D912" s="38"/>
      <c r="E912" s="38"/>
      <c r="G912" s="38"/>
    </row>
    <row r="913">
      <c r="A913" s="38"/>
      <c r="B913" s="38"/>
      <c r="C913" s="38"/>
      <c r="D913" s="38"/>
      <c r="E913" s="38"/>
      <c r="G913" s="38"/>
    </row>
    <row r="914">
      <c r="A914" s="38"/>
      <c r="B914" s="38"/>
      <c r="C914" s="38"/>
      <c r="D914" s="38"/>
      <c r="E914" s="38"/>
      <c r="G914" s="38"/>
    </row>
    <row r="915">
      <c r="A915" s="38"/>
      <c r="B915" s="38"/>
      <c r="C915" s="38"/>
      <c r="D915" s="38"/>
      <c r="E915" s="38"/>
      <c r="G915" s="38"/>
    </row>
    <row r="916">
      <c r="A916" s="38"/>
      <c r="B916" s="38"/>
      <c r="C916" s="38"/>
      <c r="D916" s="38"/>
      <c r="E916" s="38"/>
      <c r="G916" s="38"/>
    </row>
    <row r="917">
      <c r="A917" s="38"/>
      <c r="B917" s="38"/>
      <c r="C917" s="38"/>
      <c r="D917" s="38"/>
      <c r="E917" s="38"/>
      <c r="G917" s="38"/>
    </row>
    <row r="918">
      <c r="A918" s="38"/>
      <c r="B918" s="38"/>
      <c r="C918" s="38"/>
      <c r="D918" s="38"/>
      <c r="E918" s="38"/>
      <c r="G918" s="38"/>
    </row>
    <row r="919">
      <c r="A919" s="38"/>
      <c r="B919" s="38"/>
      <c r="C919" s="38"/>
      <c r="D919" s="38"/>
      <c r="E919" s="38"/>
      <c r="G919" s="38"/>
    </row>
    <row r="920">
      <c r="A920" s="38"/>
      <c r="B920" s="38"/>
      <c r="C920" s="38"/>
      <c r="D920" s="38"/>
      <c r="E920" s="38"/>
      <c r="G920" s="38"/>
    </row>
    <row r="921">
      <c r="A921" s="38"/>
      <c r="B921" s="38"/>
      <c r="C921" s="38"/>
      <c r="D921" s="38"/>
      <c r="E921" s="38"/>
      <c r="G921" s="38"/>
    </row>
    <row r="922">
      <c r="A922" s="38"/>
      <c r="B922" s="38"/>
      <c r="C922" s="38"/>
      <c r="D922" s="38"/>
      <c r="E922" s="38"/>
      <c r="G922" s="38"/>
    </row>
    <row r="923">
      <c r="A923" s="38"/>
      <c r="B923" s="38"/>
      <c r="C923" s="38"/>
      <c r="D923" s="38"/>
      <c r="E923" s="38"/>
      <c r="G923" s="38"/>
    </row>
    <row r="924">
      <c r="A924" s="38"/>
      <c r="B924" s="38"/>
      <c r="C924" s="38"/>
      <c r="D924" s="38"/>
      <c r="E924" s="38"/>
      <c r="G924" s="38"/>
    </row>
    <row r="925">
      <c r="A925" s="38"/>
      <c r="B925" s="38"/>
      <c r="C925" s="38"/>
      <c r="D925" s="38"/>
      <c r="E925" s="38"/>
      <c r="G925" s="38"/>
    </row>
    <row r="926">
      <c r="A926" s="38"/>
      <c r="B926" s="38"/>
      <c r="C926" s="38"/>
      <c r="D926" s="38"/>
      <c r="E926" s="38"/>
      <c r="G926" s="38"/>
    </row>
    <row r="927">
      <c r="A927" s="38"/>
      <c r="B927" s="38"/>
      <c r="C927" s="38"/>
      <c r="D927" s="38"/>
      <c r="E927" s="38"/>
      <c r="G927" s="38"/>
    </row>
    <row r="928">
      <c r="A928" s="38"/>
      <c r="B928" s="38"/>
      <c r="C928" s="38"/>
      <c r="D928" s="38"/>
      <c r="E928" s="38"/>
      <c r="G928" s="38"/>
    </row>
    <row r="929">
      <c r="A929" s="38"/>
      <c r="B929" s="38"/>
      <c r="C929" s="38"/>
      <c r="D929" s="38"/>
      <c r="E929" s="38"/>
      <c r="G929" s="38"/>
    </row>
    <row r="930">
      <c r="A930" s="38"/>
      <c r="B930" s="38"/>
      <c r="C930" s="38"/>
      <c r="D930" s="38"/>
      <c r="E930" s="38"/>
      <c r="G930" s="38"/>
    </row>
    <row r="931">
      <c r="A931" s="38"/>
      <c r="B931" s="38"/>
      <c r="C931" s="38"/>
      <c r="D931" s="38"/>
      <c r="E931" s="38"/>
      <c r="G931" s="38"/>
    </row>
    <row r="932">
      <c r="A932" s="38"/>
      <c r="B932" s="38"/>
      <c r="C932" s="38"/>
      <c r="D932" s="38"/>
      <c r="E932" s="38"/>
      <c r="G932" s="38"/>
    </row>
    <row r="933">
      <c r="A933" s="38"/>
      <c r="B933" s="38"/>
      <c r="C933" s="38"/>
      <c r="D933" s="38"/>
      <c r="E933" s="38"/>
      <c r="G933" s="38"/>
    </row>
    <row r="934">
      <c r="A934" s="38"/>
      <c r="B934" s="38"/>
      <c r="C934" s="38"/>
      <c r="D934" s="38"/>
      <c r="E934" s="38"/>
      <c r="G934" s="38"/>
    </row>
    <row r="935">
      <c r="A935" s="38"/>
      <c r="B935" s="38"/>
      <c r="C935" s="38"/>
      <c r="D935" s="38"/>
      <c r="E935" s="38"/>
      <c r="G935" s="38"/>
    </row>
    <row r="936">
      <c r="A936" s="38"/>
      <c r="B936" s="38"/>
      <c r="C936" s="38"/>
      <c r="D936" s="38"/>
      <c r="E936" s="38"/>
      <c r="G936" s="38"/>
    </row>
    <row r="937">
      <c r="A937" s="38"/>
      <c r="B937" s="38"/>
      <c r="C937" s="38"/>
      <c r="D937" s="38"/>
      <c r="E937" s="38"/>
      <c r="G937" s="38"/>
    </row>
    <row r="938">
      <c r="A938" s="38"/>
      <c r="B938" s="38"/>
      <c r="C938" s="38"/>
      <c r="D938" s="38"/>
      <c r="E938" s="38"/>
      <c r="G938" s="38"/>
    </row>
    <row r="939">
      <c r="A939" s="38"/>
      <c r="B939" s="38"/>
      <c r="C939" s="38"/>
      <c r="D939" s="38"/>
      <c r="E939" s="38"/>
      <c r="G939" s="38"/>
    </row>
    <row r="940">
      <c r="A940" s="38"/>
      <c r="B940" s="38"/>
      <c r="C940" s="38"/>
      <c r="D940" s="38"/>
      <c r="E940" s="38"/>
      <c r="G940" s="38"/>
    </row>
    <row r="941">
      <c r="A941" s="38"/>
      <c r="B941" s="38"/>
      <c r="C941" s="38"/>
      <c r="D941" s="38"/>
      <c r="E941" s="38"/>
      <c r="G941" s="38"/>
    </row>
    <row r="942">
      <c r="A942" s="38"/>
      <c r="B942" s="38"/>
      <c r="C942" s="38"/>
      <c r="D942" s="38"/>
      <c r="E942" s="38"/>
      <c r="G942" s="38"/>
    </row>
    <row r="943">
      <c r="A943" s="38"/>
      <c r="B943" s="38"/>
      <c r="C943" s="38"/>
      <c r="D943" s="38"/>
      <c r="E943" s="38"/>
      <c r="G943" s="38"/>
    </row>
    <row r="944">
      <c r="A944" s="38"/>
      <c r="B944" s="38"/>
      <c r="C944" s="38"/>
      <c r="D944" s="38"/>
      <c r="E944" s="38"/>
      <c r="G944" s="38"/>
    </row>
    <row r="945">
      <c r="A945" s="38"/>
      <c r="B945" s="38"/>
      <c r="C945" s="38"/>
      <c r="D945" s="38"/>
      <c r="E945" s="38"/>
      <c r="G945" s="38"/>
    </row>
    <row r="946">
      <c r="A946" s="38"/>
      <c r="B946" s="38"/>
      <c r="C946" s="38"/>
      <c r="D946" s="38"/>
      <c r="E946" s="38"/>
      <c r="G946" s="38"/>
    </row>
    <row r="947">
      <c r="A947" s="38"/>
      <c r="B947" s="38"/>
      <c r="C947" s="38"/>
      <c r="D947" s="38"/>
      <c r="E947" s="38"/>
      <c r="G947" s="38"/>
    </row>
    <row r="948">
      <c r="A948" s="38"/>
      <c r="B948" s="38"/>
      <c r="C948" s="38"/>
      <c r="D948" s="38"/>
      <c r="E948" s="38"/>
      <c r="G948" s="38"/>
    </row>
    <row r="949">
      <c r="A949" s="38"/>
      <c r="B949" s="38"/>
      <c r="C949" s="38"/>
      <c r="D949" s="38"/>
      <c r="E949" s="38"/>
      <c r="G949" s="38"/>
    </row>
    <row r="950">
      <c r="A950" s="38"/>
      <c r="B950" s="38"/>
      <c r="C950" s="38"/>
      <c r="D950" s="38"/>
      <c r="E950" s="38"/>
      <c r="G950" s="38"/>
    </row>
    <row r="951">
      <c r="A951" s="38"/>
      <c r="B951" s="38"/>
      <c r="C951" s="38"/>
      <c r="D951" s="38"/>
      <c r="E951" s="38"/>
      <c r="G951" s="38"/>
    </row>
    <row r="952">
      <c r="A952" s="38"/>
      <c r="B952" s="38"/>
      <c r="C952" s="38"/>
      <c r="D952" s="38"/>
      <c r="E952" s="38"/>
      <c r="G952" s="38"/>
    </row>
    <row r="953">
      <c r="A953" s="38"/>
      <c r="B953" s="38"/>
      <c r="C953" s="38"/>
      <c r="D953" s="38"/>
      <c r="E953" s="38"/>
      <c r="G953" s="38"/>
    </row>
    <row r="954">
      <c r="A954" s="38"/>
      <c r="B954" s="38"/>
      <c r="C954" s="38"/>
      <c r="D954" s="38"/>
      <c r="E954" s="38"/>
      <c r="G954" s="38"/>
    </row>
    <row r="955">
      <c r="A955" s="38"/>
      <c r="B955" s="38"/>
      <c r="C955" s="38"/>
      <c r="D955" s="38"/>
      <c r="E955" s="38"/>
      <c r="G955" s="38"/>
    </row>
    <row r="956">
      <c r="A956" s="38"/>
      <c r="B956" s="38"/>
      <c r="C956" s="38"/>
      <c r="D956" s="38"/>
      <c r="E956" s="38"/>
      <c r="G956" s="38"/>
    </row>
    <row r="957">
      <c r="A957" s="38"/>
      <c r="B957" s="38"/>
      <c r="C957" s="38"/>
      <c r="D957" s="38"/>
      <c r="E957" s="38"/>
      <c r="G957" s="38"/>
    </row>
    <row r="958">
      <c r="A958" s="38"/>
      <c r="B958" s="38"/>
      <c r="C958" s="38"/>
      <c r="D958" s="38"/>
      <c r="E958" s="38"/>
      <c r="G958" s="38"/>
    </row>
    <row r="959">
      <c r="A959" s="38"/>
      <c r="B959" s="38"/>
      <c r="C959" s="38"/>
      <c r="D959" s="38"/>
      <c r="E959" s="38"/>
      <c r="G959" s="38"/>
    </row>
    <row r="960">
      <c r="A960" s="38"/>
      <c r="B960" s="38"/>
      <c r="C960" s="38"/>
      <c r="D960" s="38"/>
      <c r="E960" s="38"/>
      <c r="G960" s="38"/>
    </row>
    <row r="961">
      <c r="A961" s="38"/>
      <c r="B961" s="38"/>
      <c r="C961" s="38"/>
      <c r="D961" s="38"/>
      <c r="E961" s="38"/>
      <c r="G961" s="38"/>
    </row>
    <row r="962">
      <c r="A962" s="38"/>
      <c r="B962" s="38"/>
      <c r="C962" s="38"/>
      <c r="D962" s="38"/>
      <c r="E962" s="38"/>
      <c r="G962" s="38"/>
    </row>
    <row r="963">
      <c r="A963" s="38"/>
      <c r="B963" s="38"/>
      <c r="C963" s="38"/>
      <c r="D963" s="38"/>
      <c r="E963" s="38"/>
      <c r="G963" s="38"/>
    </row>
    <row r="964">
      <c r="A964" s="38"/>
      <c r="B964" s="38"/>
      <c r="C964" s="38"/>
      <c r="D964" s="38"/>
      <c r="E964" s="38"/>
      <c r="G964" s="38"/>
    </row>
    <row r="965">
      <c r="A965" s="38"/>
      <c r="B965" s="38"/>
      <c r="C965" s="38"/>
      <c r="D965" s="38"/>
      <c r="E965" s="38"/>
      <c r="G965" s="38"/>
    </row>
    <row r="966">
      <c r="A966" s="38"/>
      <c r="B966" s="38"/>
      <c r="C966" s="38"/>
      <c r="D966" s="38"/>
      <c r="E966" s="38"/>
      <c r="G966" s="38"/>
    </row>
    <row r="967">
      <c r="A967" s="38"/>
      <c r="B967" s="38"/>
      <c r="C967" s="38"/>
      <c r="D967" s="38"/>
      <c r="E967" s="38"/>
      <c r="G967" s="38"/>
    </row>
    <row r="968">
      <c r="A968" s="38"/>
      <c r="B968" s="38"/>
      <c r="C968" s="38"/>
      <c r="D968" s="38"/>
      <c r="E968" s="38"/>
      <c r="G968" s="38"/>
    </row>
    <row r="969">
      <c r="A969" s="38"/>
      <c r="B969" s="38"/>
      <c r="C969" s="38"/>
      <c r="D969" s="38"/>
      <c r="E969" s="38"/>
      <c r="G969" s="38"/>
    </row>
    <row r="970">
      <c r="A970" s="38"/>
      <c r="B970" s="38"/>
      <c r="C970" s="38"/>
      <c r="D970" s="38"/>
      <c r="E970" s="38"/>
      <c r="G970" s="3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75"/>
    <col customWidth="1" min="3" max="3" width="59.0"/>
    <col customWidth="1" min="4" max="4" width="37.75"/>
    <col customWidth="1" min="5" max="5" width="50.75"/>
    <col customWidth="1" min="6" max="6" width="53.5"/>
    <col customWidth="1" min="7" max="7" width="26.5"/>
    <col customWidth="1" min="8" max="8" width="35.63"/>
  </cols>
  <sheetData>
    <row r="1">
      <c r="A1" s="28" t="s">
        <v>5</v>
      </c>
      <c r="B1" s="28" t="s">
        <v>1005</v>
      </c>
      <c r="C1" s="28" t="s">
        <v>1006</v>
      </c>
      <c r="D1" s="28" t="s">
        <v>1007</v>
      </c>
      <c r="E1" s="28" t="s">
        <v>1</v>
      </c>
      <c r="F1" s="29"/>
    </row>
    <row r="2">
      <c r="A2" s="25">
        <v>46044.0</v>
      </c>
      <c r="B2" s="39">
        <v>0.4375</v>
      </c>
      <c r="C2" s="29" t="s">
        <v>1025</v>
      </c>
      <c r="D2" s="29" t="s">
        <v>16</v>
      </c>
      <c r="E2" s="29" t="s">
        <v>12</v>
      </c>
      <c r="F2" s="29"/>
      <c r="H2" s="29"/>
    </row>
    <row r="3">
      <c r="A3" s="25">
        <v>46044.0</v>
      </c>
      <c r="B3" s="39">
        <v>0.4479166666666667</v>
      </c>
      <c r="C3" s="29" t="s">
        <v>1026</v>
      </c>
      <c r="D3" s="29" t="s">
        <v>16</v>
      </c>
      <c r="E3" s="29" t="s">
        <v>1027</v>
      </c>
      <c r="F3" s="29"/>
      <c r="H3" s="29"/>
    </row>
    <row r="4">
      <c r="A4" s="25">
        <v>46044.0</v>
      </c>
      <c r="B4" s="39">
        <v>0.4583333333333333</v>
      </c>
      <c r="C4" s="29" t="s">
        <v>1028</v>
      </c>
      <c r="D4" s="29" t="s">
        <v>16</v>
      </c>
      <c r="E4" s="29" t="s">
        <v>25</v>
      </c>
      <c r="F4" s="29"/>
      <c r="H4" s="29"/>
    </row>
    <row r="5">
      <c r="A5" s="25">
        <v>46044.0</v>
      </c>
      <c r="B5" s="39">
        <v>0.46875</v>
      </c>
      <c r="C5" s="29" t="s">
        <v>1029</v>
      </c>
      <c r="D5" s="29" t="s">
        <v>16</v>
      </c>
      <c r="E5" s="29" t="s">
        <v>30</v>
      </c>
      <c r="F5" s="29"/>
      <c r="H5" s="29"/>
    </row>
    <row r="6">
      <c r="A6" s="25">
        <v>46044.0</v>
      </c>
      <c r="B6" s="39">
        <v>0.4791666666666667</v>
      </c>
      <c r="C6" s="29" t="s">
        <v>1030</v>
      </c>
      <c r="D6" s="29" t="s">
        <v>37</v>
      </c>
      <c r="E6" s="29" t="s">
        <v>35</v>
      </c>
      <c r="F6" s="29"/>
      <c r="H6" s="29"/>
    </row>
    <row r="7">
      <c r="A7" s="25">
        <v>46044.0</v>
      </c>
      <c r="B7" s="39">
        <v>0.4895833333333333</v>
      </c>
      <c r="C7" s="29" t="s">
        <v>1031</v>
      </c>
      <c r="D7" s="29" t="s">
        <v>37</v>
      </c>
      <c r="E7" s="29" t="s">
        <v>1032</v>
      </c>
      <c r="F7" s="29"/>
      <c r="H7" s="29"/>
    </row>
    <row r="8">
      <c r="A8" s="25">
        <v>46044.0</v>
      </c>
      <c r="B8" s="39">
        <v>0.5</v>
      </c>
      <c r="C8" s="29" t="s">
        <v>1033</v>
      </c>
      <c r="D8" s="29" t="s">
        <v>37</v>
      </c>
      <c r="E8" s="29" t="s">
        <v>44</v>
      </c>
      <c r="F8" s="29"/>
      <c r="H8" s="29"/>
    </row>
    <row r="9">
      <c r="A9" s="25">
        <v>46044.0</v>
      </c>
      <c r="B9" s="39">
        <v>0.5104166666666666</v>
      </c>
      <c r="C9" s="29" t="s">
        <v>1034</v>
      </c>
      <c r="D9" s="29" t="s">
        <v>1035</v>
      </c>
      <c r="E9" s="29" t="s">
        <v>1036</v>
      </c>
      <c r="F9" s="29"/>
      <c r="H9" s="29"/>
    </row>
    <row r="10">
      <c r="A10" s="25">
        <v>46044.0</v>
      </c>
      <c r="B10" s="26">
        <v>0.5416666666666666</v>
      </c>
      <c r="C10" s="29" t="s">
        <v>1037</v>
      </c>
      <c r="D10" s="29" t="s">
        <v>1038</v>
      </c>
      <c r="E10" s="29" t="s">
        <v>48</v>
      </c>
      <c r="F10" s="29"/>
      <c r="H10" s="29"/>
    </row>
    <row r="11">
      <c r="A11" s="25">
        <v>46044.0</v>
      </c>
      <c r="B11" s="26">
        <v>0.5520833333333334</v>
      </c>
      <c r="C11" s="29" t="s">
        <v>1039</v>
      </c>
      <c r="D11" s="29" t="s">
        <v>1038</v>
      </c>
      <c r="E11" s="29" t="s">
        <v>53</v>
      </c>
      <c r="F11" s="29"/>
      <c r="H11" s="29"/>
    </row>
    <row r="12">
      <c r="A12" s="25">
        <v>46044.0</v>
      </c>
      <c r="B12" s="26">
        <v>0.5625</v>
      </c>
      <c r="C12" s="29" t="s">
        <v>1040</v>
      </c>
      <c r="D12" s="29" t="s">
        <v>1038</v>
      </c>
      <c r="E12" s="29" t="s">
        <v>58</v>
      </c>
      <c r="F12" s="29"/>
      <c r="H12" s="29"/>
    </row>
    <row r="13">
      <c r="A13" s="25">
        <v>46044.0</v>
      </c>
      <c r="B13" s="26">
        <v>0.5729166666666666</v>
      </c>
      <c r="C13" s="29" t="s">
        <v>1041</v>
      </c>
      <c r="D13" s="29" t="s">
        <v>1042</v>
      </c>
      <c r="E13" s="29" t="s">
        <v>63</v>
      </c>
      <c r="F13" s="29"/>
      <c r="H13" s="29"/>
    </row>
    <row r="14">
      <c r="A14" s="25">
        <v>46044.0</v>
      </c>
      <c r="B14" s="26">
        <v>0.5833333333333334</v>
      </c>
      <c r="C14" s="29" t="s">
        <v>1043</v>
      </c>
      <c r="D14" s="29" t="s">
        <v>1044</v>
      </c>
      <c r="E14" s="29" t="s">
        <v>68</v>
      </c>
      <c r="F14" s="29"/>
      <c r="H14" s="29"/>
    </row>
    <row r="15">
      <c r="A15" s="25">
        <v>46044.0</v>
      </c>
      <c r="B15" s="26">
        <v>0.4375</v>
      </c>
      <c r="C15" s="29" t="s">
        <v>1045</v>
      </c>
      <c r="D15" s="29" t="s">
        <v>725</v>
      </c>
      <c r="E15" s="29" t="s">
        <v>73</v>
      </c>
      <c r="F15" s="29"/>
      <c r="H15" s="29"/>
    </row>
    <row r="16">
      <c r="A16" s="25">
        <v>46044.0</v>
      </c>
      <c r="B16" s="26">
        <v>0.4479166666666667</v>
      </c>
      <c r="C16" s="29" t="s">
        <v>1046</v>
      </c>
      <c r="D16" s="29" t="s">
        <v>120</v>
      </c>
      <c r="E16" s="29" t="s">
        <v>78</v>
      </c>
      <c r="F16" s="29"/>
      <c r="H16" s="29"/>
    </row>
    <row r="17">
      <c r="A17" s="25">
        <v>46044.0</v>
      </c>
      <c r="B17" s="26">
        <v>0.4583333333333333</v>
      </c>
      <c r="C17" s="29" t="s">
        <v>1047</v>
      </c>
      <c r="D17" s="29" t="s">
        <v>120</v>
      </c>
      <c r="E17" s="29" t="s">
        <v>83</v>
      </c>
      <c r="F17" s="29"/>
      <c r="H17" s="29"/>
    </row>
    <row r="18">
      <c r="A18" s="25">
        <v>46044.0</v>
      </c>
      <c r="B18" s="26">
        <v>0.46875</v>
      </c>
      <c r="C18" s="29" t="s">
        <v>1048</v>
      </c>
      <c r="D18" s="29" t="s">
        <v>120</v>
      </c>
      <c r="E18" s="29" t="s">
        <v>88</v>
      </c>
      <c r="F18" s="29"/>
      <c r="H18" s="29"/>
    </row>
    <row r="19">
      <c r="A19" s="25">
        <v>46044.0</v>
      </c>
      <c r="B19" s="26">
        <v>0.4791666666666667</v>
      </c>
      <c r="C19" s="29" t="s">
        <v>1049</v>
      </c>
      <c r="D19" s="29" t="s">
        <v>16</v>
      </c>
      <c r="E19" s="29" t="s">
        <v>93</v>
      </c>
      <c r="F19" s="29"/>
      <c r="H19" s="29"/>
    </row>
    <row r="20">
      <c r="A20" s="25">
        <v>46044.0</v>
      </c>
      <c r="B20" s="26">
        <v>0.4895833333333333</v>
      </c>
      <c r="C20" s="29" t="s">
        <v>1050</v>
      </c>
      <c r="D20" s="29" t="s">
        <v>1051</v>
      </c>
      <c r="E20" s="29" t="s">
        <v>98</v>
      </c>
      <c r="F20" s="29"/>
      <c r="H20" s="29"/>
    </row>
    <row r="21">
      <c r="A21" s="25">
        <v>46044.0</v>
      </c>
      <c r="B21" s="26">
        <v>0.5</v>
      </c>
      <c r="C21" s="29" t="s">
        <v>1052</v>
      </c>
      <c r="D21" s="29" t="s">
        <v>105</v>
      </c>
      <c r="E21" s="29" t="s">
        <v>103</v>
      </c>
      <c r="F21" s="29"/>
      <c r="H21" s="29"/>
    </row>
    <row r="22">
      <c r="A22" s="25">
        <v>46044.0</v>
      </c>
      <c r="B22" s="26">
        <v>0.5104166666666666</v>
      </c>
      <c r="C22" s="29" t="s">
        <v>1053</v>
      </c>
      <c r="D22" s="29" t="s">
        <v>1054</v>
      </c>
      <c r="E22" s="29" t="s">
        <v>108</v>
      </c>
      <c r="F22" s="29"/>
      <c r="H22" s="29"/>
    </row>
    <row r="23">
      <c r="A23" s="25">
        <v>46044.0</v>
      </c>
      <c r="B23" s="26">
        <v>0.5416666666666666</v>
      </c>
      <c r="C23" s="29" t="s">
        <v>1055</v>
      </c>
      <c r="D23" s="29" t="s">
        <v>1056</v>
      </c>
      <c r="E23" s="29" t="s">
        <v>113</v>
      </c>
      <c r="F23" s="29"/>
      <c r="H23" s="29"/>
    </row>
    <row r="24">
      <c r="A24" s="25">
        <v>46044.0</v>
      </c>
      <c r="B24" s="26">
        <v>0.5520833333333334</v>
      </c>
      <c r="C24" s="29" t="s">
        <v>1057</v>
      </c>
      <c r="D24" s="29" t="s">
        <v>120</v>
      </c>
      <c r="E24" s="29" t="s">
        <v>1058</v>
      </c>
      <c r="F24" s="29"/>
      <c r="H24" s="29"/>
    </row>
    <row r="25">
      <c r="A25" s="25">
        <v>46044.0</v>
      </c>
      <c r="B25" s="26">
        <v>0.5625</v>
      </c>
      <c r="C25" s="29" t="s">
        <v>1059</v>
      </c>
      <c r="D25" s="29" t="s">
        <v>1060</v>
      </c>
      <c r="E25" s="29" t="s">
        <v>1061</v>
      </c>
      <c r="F25" s="29"/>
      <c r="H25" s="29"/>
    </row>
    <row r="26">
      <c r="A26" s="25">
        <v>46044.0</v>
      </c>
      <c r="B26" s="26">
        <v>0.5729166666666666</v>
      </c>
      <c r="C26" s="29" t="s">
        <v>1062</v>
      </c>
      <c r="D26" s="29" t="s">
        <v>130</v>
      </c>
      <c r="E26" s="29" t="s">
        <v>128</v>
      </c>
      <c r="F26" s="29"/>
      <c r="H26" s="29"/>
    </row>
    <row r="27">
      <c r="A27" s="25">
        <v>46044.0</v>
      </c>
      <c r="B27" s="26">
        <v>0.5833333333333334</v>
      </c>
      <c r="C27" s="29" t="s">
        <v>1063</v>
      </c>
      <c r="D27" s="29" t="s">
        <v>913</v>
      </c>
      <c r="E27" s="29" t="s">
        <v>1064</v>
      </c>
      <c r="F27" s="29"/>
      <c r="H27" s="29"/>
    </row>
    <row r="28">
      <c r="A28" s="25">
        <v>46044.0</v>
      </c>
      <c r="B28" s="26">
        <v>0.59375</v>
      </c>
      <c r="C28" s="29" t="s">
        <v>1065</v>
      </c>
      <c r="D28" s="29" t="s">
        <v>978</v>
      </c>
      <c r="E28" s="29" t="s">
        <v>138</v>
      </c>
      <c r="F28" s="29"/>
      <c r="H28" s="29"/>
    </row>
    <row r="29">
      <c r="A29" s="25">
        <v>46044.0</v>
      </c>
      <c r="B29" s="26">
        <v>0.6145833333333334</v>
      </c>
      <c r="C29" s="29" t="s">
        <v>1066</v>
      </c>
      <c r="D29" s="29" t="s">
        <v>1067</v>
      </c>
      <c r="E29" s="29" t="s">
        <v>143</v>
      </c>
      <c r="F29" s="29"/>
      <c r="H29" s="29"/>
    </row>
    <row r="30">
      <c r="A30" s="25">
        <v>46044.0</v>
      </c>
      <c r="B30" s="26">
        <v>0.625</v>
      </c>
      <c r="C30" s="29" t="s">
        <v>1068</v>
      </c>
      <c r="D30" s="29" t="s">
        <v>725</v>
      </c>
      <c r="E30" s="29" t="s">
        <v>148</v>
      </c>
      <c r="F30" s="29"/>
      <c r="H30" s="29"/>
    </row>
    <row r="31">
      <c r="A31" s="25">
        <v>46044.0</v>
      </c>
      <c r="B31" s="26">
        <v>0.6354166666666666</v>
      </c>
      <c r="C31" s="29" t="s">
        <v>1069</v>
      </c>
      <c r="D31" s="29" t="s">
        <v>1070</v>
      </c>
      <c r="E31" s="29" t="s">
        <v>153</v>
      </c>
      <c r="F31" s="29"/>
      <c r="H31" s="29"/>
    </row>
    <row r="32">
      <c r="A32" s="25">
        <v>46044.0</v>
      </c>
      <c r="B32" s="26">
        <v>0.6458333333333334</v>
      </c>
      <c r="C32" s="29" t="s">
        <v>1071</v>
      </c>
      <c r="D32" s="29" t="s">
        <v>1072</v>
      </c>
      <c r="E32" s="29" t="s">
        <v>158</v>
      </c>
      <c r="F32" s="29"/>
      <c r="H32" s="29"/>
    </row>
    <row r="33">
      <c r="A33" s="25">
        <v>46044.0</v>
      </c>
      <c r="B33" s="26">
        <v>0.6666666666666666</v>
      </c>
      <c r="C33" s="29" t="s">
        <v>1073</v>
      </c>
      <c r="D33" s="29" t="s">
        <v>1074</v>
      </c>
      <c r="E33" s="29" t="s">
        <v>163</v>
      </c>
      <c r="F33" s="29"/>
      <c r="H33" s="29"/>
    </row>
    <row r="34">
      <c r="A34" s="25">
        <v>46044.0</v>
      </c>
      <c r="B34" s="26">
        <v>0.6770833333333334</v>
      </c>
      <c r="C34" s="29" t="s">
        <v>1075</v>
      </c>
      <c r="D34" s="29" t="s">
        <v>120</v>
      </c>
      <c r="E34" s="29" t="s">
        <v>167</v>
      </c>
      <c r="F34" s="29"/>
      <c r="H34" s="29"/>
    </row>
    <row r="35">
      <c r="A35" s="25">
        <v>46044.0</v>
      </c>
      <c r="B35" s="26">
        <v>0.6875</v>
      </c>
      <c r="C35" s="29" t="s">
        <v>1076</v>
      </c>
      <c r="D35" s="29" t="s">
        <v>173</v>
      </c>
      <c r="E35" s="29" t="s">
        <v>1077</v>
      </c>
      <c r="F35" s="29"/>
      <c r="H35" s="29"/>
    </row>
    <row r="36">
      <c r="A36" s="25">
        <v>46044.0</v>
      </c>
      <c r="B36" s="26">
        <v>0.6979166666666666</v>
      </c>
      <c r="C36" s="29" t="s">
        <v>1078</v>
      </c>
      <c r="D36" s="29" t="s">
        <v>1079</v>
      </c>
      <c r="E36" s="29" t="s">
        <v>176</v>
      </c>
      <c r="F36" s="29"/>
      <c r="H36" s="29"/>
    </row>
    <row r="37">
      <c r="A37" s="25">
        <v>46044.0</v>
      </c>
      <c r="B37" s="26">
        <v>0.7083333333333334</v>
      </c>
      <c r="C37" s="29" t="s">
        <v>1080</v>
      </c>
      <c r="D37" s="29" t="s">
        <v>1081</v>
      </c>
      <c r="E37" s="29" t="s">
        <v>181</v>
      </c>
      <c r="F37" s="29"/>
      <c r="H37" s="29"/>
    </row>
    <row r="38">
      <c r="A38" s="25">
        <v>46044.0</v>
      </c>
      <c r="B38" s="26">
        <v>0.71875</v>
      </c>
      <c r="C38" s="29" t="s">
        <v>1082</v>
      </c>
      <c r="D38" s="29" t="s">
        <v>120</v>
      </c>
      <c r="E38" s="29" t="s">
        <v>186</v>
      </c>
      <c r="F38" s="29"/>
      <c r="H38" s="29"/>
    </row>
    <row r="39">
      <c r="A39" s="25">
        <v>46044.0</v>
      </c>
      <c r="B39" s="26">
        <v>0.5833333333333334</v>
      </c>
      <c r="C39" s="29" t="s">
        <v>1083</v>
      </c>
      <c r="D39" s="29" t="s">
        <v>978</v>
      </c>
      <c r="E39" s="29" t="s">
        <v>688</v>
      </c>
      <c r="F39" s="29"/>
      <c r="H39" s="29"/>
    </row>
    <row r="40">
      <c r="A40" s="25">
        <v>46044.0</v>
      </c>
      <c r="B40" s="26">
        <v>0.59375</v>
      </c>
      <c r="C40" s="29" t="s">
        <v>1084</v>
      </c>
      <c r="D40" s="29" t="s">
        <v>1085</v>
      </c>
      <c r="E40" s="29" t="s">
        <v>718</v>
      </c>
      <c r="F40" s="29"/>
      <c r="H40" s="29"/>
    </row>
    <row r="41">
      <c r="A41" s="25">
        <v>46044.0</v>
      </c>
      <c r="B41" s="26">
        <v>0.6041666666666666</v>
      </c>
      <c r="C41" s="29" t="s">
        <v>1086</v>
      </c>
      <c r="D41" s="29" t="s">
        <v>120</v>
      </c>
      <c r="E41" s="29" t="s">
        <v>554</v>
      </c>
      <c r="F41" s="29"/>
      <c r="H41" s="29"/>
    </row>
    <row r="42">
      <c r="A42" s="25">
        <v>46044.0</v>
      </c>
      <c r="B42" s="26">
        <v>0.6145833333333334</v>
      </c>
      <c r="C42" s="29" t="s">
        <v>1087</v>
      </c>
      <c r="D42" s="29" t="s">
        <v>1088</v>
      </c>
      <c r="E42" s="29" t="s">
        <v>559</v>
      </c>
      <c r="F42" s="29"/>
      <c r="H42" s="29"/>
    </row>
    <row r="43">
      <c r="A43" s="25">
        <v>46044.0</v>
      </c>
      <c r="B43" s="26">
        <v>0.625</v>
      </c>
      <c r="C43" s="29" t="s">
        <v>1089</v>
      </c>
      <c r="D43" s="29" t="s">
        <v>173</v>
      </c>
      <c r="E43" s="29" t="s">
        <v>564</v>
      </c>
      <c r="F43" s="29"/>
      <c r="H43" s="29"/>
    </row>
    <row r="44">
      <c r="A44" s="25">
        <v>46044.0</v>
      </c>
      <c r="B44" s="26">
        <v>0.6354166666666666</v>
      </c>
      <c r="C44" s="29" t="s">
        <v>1090</v>
      </c>
      <c r="D44" s="29" t="s">
        <v>16</v>
      </c>
      <c r="E44" s="29" t="s">
        <v>568</v>
      </c>
      <c r="F44" s="29"/>
      <c r="H44" s="29"/>
    </row>
    <row r="45">
      <c r="A45" s="25">
        <v>46044.0</v>
      </c>
      <c r="B45" s="26">
        <v>0.4375</v>
      </c>
      <c r="C45" s="29" t="s">
        <v>1091</v>
      </c>
      <c r="D45" s="29" t="s">
        <v>1092</v>
      </c>
      <c r="E45" s="29" t="s">
        <v>191</v>
      </c>
      <c r="F45" s="29"/>
      <c r="H45" s="29"/>
    </row>
    <row r="46">
      <c r="A46" s="25">
        <v>46044.0</v>
      </c>
      <c r="B46" s="26">
        <v>0.4479166666666667</v>
      </c>
      <c r="C46" s="29" t="s">
        <v>1093</v>
      </c>
      <c r="D46" s="29" t="s">
        <v>978</v>
      </c>
      <c r="E46" s="29" t="s">
        <v>1094</v>
      </c>
      <c r="F46" s="29"/>
      <c r="H46" s="29"/>
    </row>
    <row r="47">
      <c r="A47" s="25">
        <v>46044.0</v>
      </c>
      <c r="B47" s="26">
        <v>0.4583333333333333</v>
      </c>
      <c r="C47" s="29" t="s">
        <v>1095</v>
      </c>
      <c r="D47" s="29" t="s">
        <v>1054</v>
      </c>
      <c r="E47" s="29" t="s">
        <v>201</v>
      </c>
      <c r="F47" s="29"/>
      <c r="H47" s="29"/>
    </row>
    <row r="48">
      <c r="A48" s="25">
        <v>46044.0</v>
      </c>
      <c r="B48" s="26">
        <v>0.46875</v>
      </c>
      <c r="C48" s="29" t="s">
        <v>1096</v>
      </c>
      <c r="D48" s="29" t="s">
        <v>942</v>
      </c>
      <c r="E48" s="29" t="s">
        <v>205</v>
      </c>
      <c r="F48" s="29"/>
      <c r="H48" s="29"/>
    </row>
    <row r="49">
      <c r="A49" s="25">
        <v>46044.0</v>
      </c>
      <c r="B49" s="26">
        <v>0.4791666666666667</v>
      </c>
      <c r="C49" s="29" t="s">
        <v>1097</v>
      </c>
      <c r="D49" s="29" t="s">
        <v>1054</v>
      </c>
      <c r="E49" s="29" t="s">
        <v>210</v>
      </c>
      <c r="F49" s="29"/>
      <c r="H49" s="29"/>
    </row>
    <row r="50">
      <c r="A50" s="25">
        <v>46044.0</v>
      </c>
      <c r="B50" s="26">
        <v>0.4895833333333333</v>
      </c>
      <c r="C50" s="29" t="s">
        <v>1098</v>
      </c>
      <c r="D50" s="29" t="s">
        <v>1054</v>
      </c>
      <c r="E50" s="29" t="s">
        <v>214</v>
      </c>
      <c r="F50" s="29"/>
      <c r="H50" s="29"/>
    </row>
    <row r="51">
      <c r="A51" s="25">
        <v>46044.0</v>
      </c>
      <c r="B51" s="26">
        <v>0.5</v>
      </c>
      <c r="C51" s="29" t="s">
        <v>1099</v>
      </c>
      <c r="D51" s="29" t="s">
        <v>942</v>
      </c>
      <c r="E51" s="29" t="s">
        <v>219</v>
      </c>
      <c r="F51" s="29"/>
      <c r="H51" s="29"/>
    </row>
    <row r="52">
      <c r="A52" s="25">
        <v>46044.0</v>
      </c>
      <c r="B52" s="26">
        <v>0.5104166666666666</v>
      </c>
      <c r="C52" s="29" t="s">
        <v>1100</v>
      </c>
      <c r="D52" s="29" t="s">
        <v>1101</v>
      </c>
      <c r="E52" s="29" t="s">
        <v>224</v>
      </c>
      <c r="F52" s="29"/>
      <c r="H52" s="29"/>
    </row>
    <row r="53">
      <c r="A53" s="25">
        <v>46044.0</v>
      </c>
      <c r="B53" s="26">
        <v>0.5416666666666666</v>
      </c>
      <c r="C53" s="29" t="s">
        <v>1102</v>
      </c>
      <c r="D53" s="29" t="s">
        <v>120</v>
      </c>
      <c r="E53" s="29" t="s">
        <v>229</v>
      </c>
      <c r="F53" s="29"/>
      <c r="H53" s="29"/>
    </row>
    <row r="54">
      <c r="A54" s="25">
        <v>46044.0</v>
      </c>
      <c r="B54" s="26">
        <v>0.5520833333333334</v>
      </c>
      <c r="C54" s="29" t="s">
        <v>1103</v>
      </c>
      <c r="D54" s="29" t="s">
        <v>1104</v>
      </c>
      <c r="E54" s="29" t="s">
        <v>234</v>
      </c>
      <c r="F54" s="29"/>
      <c r="H54" s="29"/>
    </row>
    <row r="55">
      <c r="A55" s="25">
        <v>46044.0</v>
      </c>
      <c r="B55" s="26">
        <v>0.5625</v>
      </c>
      <c r="C55" s="29" t="s">
        <v>1105</v>
      </c>
      <c r="D55" s="29" t="s">
        <v>1054</v>
      </c>
      <c r="E55" s="29" t="s">
        <v>239</v>
      </c>
      <c r="F55" s="29"/>
      <c r="H55" s="29"/>
    </row>
    <row r="56">
      <c r="A56" s="25">
        <v>46044.0</v>
      </c>
      <c r="B56" s="26">
        <v>0.5729166666666666</v>
      </c>
      <c r="C56" s="29" t="s">
        <v>1106</v>
      </c>
      <c r="D56" s="29" t="s">
        <v>246</v>
      </c>
      <c r="E56" s="29" t="s">
        <v>1107</v>
      </c>
      <c r="F56" s="29"/>
      <c r="H56" s="29"/>
    </row>
    <row r="57">
      <c r="A57" s="25">
        <v>46044.0</v>
      </c>
      <c r="B57" s="26">
        <v>0.5833333333333334</v>
      </c>
      <c r="C57" s="29" t="s">
        <v>1108</v>
      </c>
      <c r="D57" s="29" t="s">
        <v>1054</v>
      </c>
      <c r="E57" s="29" t="s">
        <v>249</v>
      </c>
      <c r="F57" s="29"/>
      <c r="H57" s="29"/>
    </row>
    <row r="58">
      <c r="A58" s="25">
        <v>46044.0</v>
      </c>
      <c r="B58" s="26">
        <v>0.59375</v>
      </c>
      <c r="C58" s="29" t="s">
        <v>1109</v>
      </c>
      <c r="D58" s="29" t="s">
        <v>120</v>
      </c>
      <c r="E58" s="29" t="s">
        <v>254</v>
      </c>
      <c r="F58" s="29"/>
      <c r="H58" s="29"/>
    </row>
    <row r="59">
      <c r="A59" s="25">
        <v>46044.0</v>
      </c>
      <c r="B59" s="26">
        <v>0.6041666666666666</v>
      </c>
      <c r="C59" s="29" t="s">
        <v>1110</v>
      </c>
      <c r="D59" s="29" t="s">
        <v>120</v>
      </c>
      <c r="E59" s="29" t="s">
        <v>259</v>
      </c>
      <c r="F59" s="29"/>
      <c r="H59" s="29"/>
    </row>
    <row r="60">
      <c r="A60" s="25">
        <v>46044.0</v>
      </c>
      <c r="B60" s="26">
        <v>0.6145833333333334</v>
      </c>
      <c r="C60" s="29" t="s">
        <v>1111</v>
      </c>
      <c r="D60" s="29" t="s">
        <v>120</v>
      </c>
      <c r="E60" s="29" t="s">
        <v>263</v>
      </c>
      <c r="F60" s="29"/>
      <c r="H60" s="29"/>
    </row>
    <row r="61">
      <c r="A61" s="25">
        <v>46044.0</v>
      </c>
      <c r="B61" s="26">
        <v>0.625</v>
      </c>
      <c r="C61" s="29" t="s">
        <v>1112</v>
      </c>
      <c r="D61" s="29" t="s">
        <v>120</v>
      </c>
      <c r="E61" s="29" t="s">
        <v>268</v>
      </c>
      <c r="F61" s="29"/>
      <c r="H61" s="29"/>
    </row>
    <row r="62">
      <c r="A62" s="25">
        <v>46044.0</v>
      </c>
      <c r="B62" s="26">
        <v>0.6354166666666666</v>
      </c>
      <c r="C62" s="29" t="s">
        <v>1113</v>
      </c>
      <c r="D62" s="29" t="s">
        <v>1114</v>
      </c>
      <c r="E62" s="29" t="s">
        <v>273</v>
      </c>
      <c r="F62" s="29"/>
      <c r="H62" s="29"/>
    </row>
    <row r="63">
      <c r="A63" s="25">
        <v>46044.0</v>
      </c>
      <c r="B63" s="26">
        <v>0.6458333333333334</v>
      </c>
      <c r="C63" s="29" t="s">
        <v>1115</v>
      </c>
      <c r="D63" s="29" t="s">
        <v>1116</v>
      </c>
      <c r="E63" s="29" t="s">
        <v>278</v>
      </c>
      <c r="F63" s="29"/>
      <c r="H63" s="29"/>
    </row>
    <row r="64">
      <c r="A64" s="25">
        <v>46044.0</v>
      </c>
      <c r="B64" s="26">
        <v>0.6666666666666666</v>
      </c>
      <c r="C64" s="29" t="s">
        <v>1117</v>
      </c>
      <c r="D64" s="29" t="s">
        <v>1118</v>
      </c>
      <c r="E64" s="29" t="s">
        <v>283</v>
      </c>
      <c r="F64" s="29"/>
      <c r="H64" s="29"/>
    </row>
    <row r="65">
      <c r="A65" s="25">
        <v>46044.0</v>
      </c>
      <c r="B65" s="26">
        <v>0.6770833333333334</v>
      </c>
      <c r="C65" s="29" t="s">
        <v>1119</v>
      </c>
      <c r="D65" s="29" t="s">
        <v>802</v>
      </c>
      <c r="E65" s="29" t="s">
        <v>288</v>
      </c>
      <c r="F65" s="29"/>
      <c r="H65" s="29"/>
    </row>
    <row r="66">
      <c r="A66" s="25">
        <v>46044.0</v>
      </c>
      <c r="B66" s="26">
        <v>0.6875</v>
      </c>
      <c r="C66" s="29" t="s">
        <v>1120</v>
      </c>
      <c r="D66" s="29" t="s">
        <v>1121</v>
      </c>
      <c r="E66" s="29" t="s">
        <v>293</v>
      </c>
      <c r="F66" s="29"/>
      <c r="H66" s="29"/>
    </row>
    <row r="67">
      <c r="A67" s="25">
        <v>46044.0</v>
      </c>
      <c r="B67" s="26">
        <v>0.4479166666666667</v>
      </c>
      <c r="C67" s="29" t="s">
        <v>1122</v>
      </c>
      <c r="D67" s="29" t="s">
        <v>120</v>
      </c>
      <c r="E67" s="29" t="s">
        <v>298</v>
      </c>
      <c r="F67" s="29"/>
      <c r="H67" s="29"/>
    </row>
    <row r="68">
      <c r="A68" s="25">
        <v>46044.0</v>
      </c>
      <c r="B68" s="26">
        <v>0.4583333333333333</v>
      </c>
      <c r="C68" s="29" t="s">
        <v>1123</v>
      </c>
      <c r="D68" s="29" t="s">
        <v>1124</v>
      </c>
      <c r="E68" s="29" t="s">
        <v>303</v>
      </c>
      <c r="F68" s="29"/>
      <c r="H68" s="29"/>
    </row>
    <row r="69">
      <c r="A69" s="25">
        <v>46044.0</v>
      </c>
      <c r="B69" s="26">
        <v>0.46875</v>
      </c>
      <c r="C69" s="29" t="s">
        <v>1125</v>
      </c>
      <c r="D69" s="29" t="s">
        <v>1126</v>
      </c>
      <c r="E69" s="29" t="s">
        <v>308</v>
      </c>
      <c r="F69" s="29"/>
      <c r="H69" s="29"/>
    </row>
    <row r="70">
      <c r="A70" s="25">
        <v>46044.0</v>
      </c>
      <c r="B70" s="26">
        <v>0.4791666666666667</v>
      </c>
      <c r="C70" s="29" t="s">
        <v>1127</v>
      </c>
      <c r="D70" s="29" t="s">
        <v>856</v>
      </c>
      <c r="E70" s="29" t="s">
        <v>313</v>
      </c>
      <c r="F70" s="29"/>
      <c r="H70" s="29"/>
    </row>
    <row r="71">
      <c r="A71" s="25">
        <v>46044.0</v>
      </c>
      <c r="B71" s="26">
        <v>0.4895833333333333</v>
      </c>
      <c r="C71" s="29" t="s">
        <v>1128</v>
      </c>
      <c r="D71" s="29" t="s">
        <v>1129</v>
      </c>
      <c r="E71" s="29" t="s">
        <v>318</v>
      </c>
      <c r="F71" s="29"/>
      <c r="H71" s="29"/>
    </row>
    <row r="72">
      <c r="A72" s="25">
        <v>46044.0</v>
      </c>
      <c r="B72" s="26">
        <v>0.5</v>
      </c>
      <c r="C72" s="29" t="s">
        <v>1130</v>
      </c>
      <c r="D72" s="29" t="s">
        <v>942</v>
      </c>
      <c r="E72" s="29" t="s">
        <v>323</v>
      </c>
      <c r="F72" s="29"/>
      <c r="H72" s="29"/>
    </row>
    <row r="73">
      <c r="A73" s="25">
        <v>46044.0</v>
      </c>
      <c r="B73" s="26">
        <v>0.5104166666666666</v>
      </c>
      <c r="C73" s="29" t="s">
        <v>1131</v>
      </c>
      <c r="D73" s="29" t="s">
        <v>1054</v>
      </c>
      <c r="E73" s="29" t="s">
        <v>328</v>
      </c>
      <c r="F73" s="29"/>
      <c r="H73" s="29"/>
    </row>
    <row r="74">
      <c r="A74" s="25">
        <v>46044.0</v>
      </c>
      <c r="B74" s="26">
        <v>0.5416666666666666</v>
      </c>
      <c r="C74" s="29" t="s">
        <v>1132</v>
      </c>
      <c r="D74" s="29" t="s">
        <v>1054</v>
      </c>
      <c r="E74" s="29" t="s">
        <v>332</v>
      </c>
      <c r="F74" s="29"/>
      <c r="H74" s="29"/>
    </row>
    <row r="75">
      <c r="A75" s="25">
        <v>46044.0</v>
      </c>
      <c r="B75" s="26">
        <v>0.5520833333333334</v>
      </c>
      <c r="C75" s="29" t="s">
        <v>1133</v>
      </c>
      <c r="D75" s="29" t="s">
        <v>120</v>
      </c>
      <c r="E75" s="29" t="s">
        <v>336</v>
      </c>
      <c r="F75" s="29"/>
      <c r="H75" s="29"/>
    </row>
    <row r="76">
      <c r="A76" s="25">
        <v>46044.0</v>
      </c>
      <c r="B76" s="26">
        <v>0.5625</v>
      </c>
      <c r="C76" s="29" t="s">
        <v>1134</v>
      </c>
      <c r="D76" s="29" t="s">
        <v>1067</v>
      </c>
      <c r="E76" s="29" t="s">
        <v>341</v>
      </c>
      <c r="F76" s="29"/>
      <c r="H76" s="29"/>
    </row>
    <row r="77">
      <c r="A77" s="25">
        <v>46044.0</v>
      </c>
      <c r="B77" s="26">
        <v>0.5729166666666666</v>
      </c>
      <c r="C77" s="29" t="s">
        <v>1135</v>
      </c>
      <c r="D77" s="29" t="s">
        <v>1067</v>
      </c>
      <c r="E77" s="29" t="s">
        <v>346</v>
      </c>
      <c r="F77" s="29"/>
      <c r="H77" s="29"/>
    </row>
    <row r="78">
      <c r="A78" s="25">
        <v>46044.0</v>
      </c>
      <c r="B78" s="26">
        <v>0.5833333333333334</v>
      </c>
      <c r="C78" s="29" t="s">
        <v>1136</v>
      </c>
      <c r="D78" s="29" t="s">
        <v>1067</v>
      </c>
      <c r="E78" s="29" t="s">
        <v>351</v>
      </c>
      <c r="F78" s="29"/>
      <c r="H78" s="29"/>
    </row>
    <row r="79">
      <c r="A79" s="25">
        <v>46044.0</v>
      </c>
      <c r="B79" s="26">
        <v>0.59375</v>
      </c>
      <c r="C79" s="29" t="s">
        <v>1137</v>
      </c>
      <c r="D79" s="29" t="s">
        <v>1054</v>
      </c>
      <c r="E79" s="29" t="s">
        <v>356</v>
      </c>
      <c r="F79" s="29"/>
      <c r="H79" s="29"/>
    </row>
    <row r="80">
      <c r="A80" s="25">
        <v>46044.0</v>
      </c>
      <c r="B80" s="26">
        <v>0.6041666666666666</v>
      </c>
      <c r="C80" s="29" t="s">
        <v>1138</v>
      </c>
      <c r="D80" s="29" t="s">
        <v>1067</v>
      </c>
      <c r="E80" s="29" t="s">
        <v>361</v>
      </c>
      <c r="F80" s="29"/>
      <c r="H80" s="29"/>
    </row>
    <row r="81">
      <c r="A81" s="25">
        <v>46044.0</v>
      </c>
      <c r="B81" s="26">
        <v>0.6145833333333334</v>
      </c>
      <c r="C81" s="29" t="s">
        <v>1139</v>
      </c>
      <c r="D81" s="29" t="s">
        <v>1140</v>
      </c>
      <c r="E81" s="29" t="s">
        <v>366</v>
      </c>
      <c r="F81" s="29"/>
      <c r="H81" s="29"/>
    </row>
    <row r="82">
      <c r="A82" s="25">
        <v>46044.0</v>
      </c>
      <c r="B82" s="26">
        <v>0.625</v>
      </c>
      <c r="C82" s="29" t="s">
        <v>1141</v>
      </c>
      <c r="D82" s="29" t="s">
        <v>120</v>
      </c>
      <c r="E82" s="29" t="s">
        <v>371</v>
      </c>
      <c r="F82" s="29"/>
      <c r="H82" s="29"/>
    </row>
    <row r="83">
      <c r="A83" s="25">
        <v>46044.0</v>
      </c>
      <c r="B83" s="26">
        <v>0.6354166666666666</v>
      </c>
      <c r="C83" s="29" t="s">
        <v>1142</v>
      </c>
      <c r="D83" s="29" t="s">
        <v>1067</v>
      </c>
      <c r="E83" s="29" t="s">
        <v>376</v>
      </c>
      <c r="F83" s="29"/>
      <c r="H83" s="29"/>
    </row>
    <row r="84">
      <c r="A84" s="25">
        <v>46044.0</v>
      </c>
      <c r="B84" s="26">
        <v>0.6458333333333334</v>
      </c>
      <c r="C84" s="29" t="s">
        <v>1143</v>
      </c>
      <c r="D84" s="29" t="s">
        <v>1144</v>
      </c>
      <c r="E84" s="29" t="s">
        <v>381</v>
      </c>
      <c r="F84" s="29"/>
      <c r="H84" s="29"/>
    </row>
    <row r="85">
      <c r="A85" s="25">
        <v>46044.0</v>
      </c>
      <c r="B85" s="26">
        <v>0.4375</v>
      </c>
      <c r="C85" s="29" t="s">
        <v>1145</v>
      </c>
      <c r="D85" s="29" t="s">
        <v>1146</v>
      </c>
      <c r="E85" s="29" t="s">
        <v>386</v>
      </c>
      <c r="F85" s="29"/>
      <c r="H85" s="29"/>
    </row>
    <row r="86">
      <c r="A86" s="25">
        <v>46044.0</v>
      </c>
      <c r="B86" s="26">
        <v>0.4479166666666667</v>
      </c>
      <c r="C86" s="29" t="s">
        <v>1147</v>
      </c>
      <c r="D86" s="29" t="s">
        <v>1148</v>
      </c>
      <c r="E86" s="29" t="s">
        <v>391</v>
      </c>
      <c r="F86" s="29"/>
      <c r="H86" s="29"/>
    </row>
    <row r="87">
      <c r="A87" s="25">
        <v>46044.0</v>
      </c>
      <c r="B87" s="26">
        <v>0.4583333333333333</v>
      </c>
      <c r="C87" s="29" t="s">
        <v>1149</v>
      </c>
      <c r="D87" s="29" t="s">
        <v>1148</v>
      </c>
      <c r="E87" s="29" t="s">
        <v>396</v>
      </c>
      <c r="F87" s="29"/>
      <c r="H87" s="29"/>
    </row>
    <row r="88">
      <c r="A88" s="25">
        <v>46044.0</v>
      </c>
      <c r="B88" s="26">
        <v>0.46875</v>
      </c>
      <c r="C88" s="29" t="s">
        <v>1150</v>
      </c>
      <c r="D88" s="29" t="s">
        <v>120</v>
      </c>
      <c r="E88" s="29" t="s">
        <v>401</v>
      </c>
      <c r="F88" s="29"/>
      <c r="H88" s="29"/>
    </row>
    <row r="89">
      <c r="A89" s="25">
        <v>46044.0</v>
      </c>
      <c r="B89" s="26">
        <v>0.4791666666666667</v>
      </c>
      <c r="C89" s="29" t="s">
        <v>1151</v>
      </c>
      <c r="D89" s="29" t="s">
        <v>407</v>
      </c>
      <c r="E89" s="29" t="s">
        <v>405</v>
      </c>
      <c r="F89" s="29"/>
      <c r="H89" s="29"/>
    </row>
    <row r="90">
      <c r="A90" s="25">
        <v>46044.0</v>
      </c>
      <c r="B90" s="26">
        <v>0.4895833333333333</v>
      </c>
      <c r="C90" s="29" t="s">
        <v>1152</v>
      </c>
      <c r="D90" s="29" t="s">
        <v>1153</v>
      </c>
      <c r="E90" s="29" t="s">
        <v>410</v>
      </c>
      <c r="F90" s="29"/>
      <c r="H90" s="29"/>
    </row>
    <row r="91">
      <c r="A91" s="25">
        <v>46044.0</v>
      </c>
      <c r="B91" s="26">
        <v>0.5</v>
      </c>
      <c r="C91" s="29" t="s">
        <v>1154</v>
      </c>
      <c r="D91" s="29" t="s">
        <v>1155</v>
      </c>
      <c r="E91" s="29" t="s">
        <v>415</v>
      </c>
      <c r="F91" s="29"/>
      <c r="H91" s="29"/>
    </row>
    <row r="92">
      <c r="A92" s="25">
        <v>46044.0</v>
      </c>
      <c r="B92" s="26">
        <v>0.5104166666666666</v>
      </c>
      <c r="C92" s="29" t="s">
        <v>1156</v>
      </c>
      <c r="D92" s="29" t="s">
        <v>1124</v>
      </c>
      <c r="E92" s="29" t="s">
        <v>420</v>
      </c>
      <c r="F92" s="29"/>
      <c r="H92" s="29"/>
    </row>
    <row r="93">
      <c r="A93" s="25">
        <v>46044.0</v>
      </c>
      <c r="B93" s="26">
        <v>0.5416666666666666</v>
      </c>
      <c r="C93" s="29" t="s">
        <v>1157</v>
      </c>
      <c r="D93" s="29" t="s">
        <v>816</v>
      </c>
      <c r="E93" s="29" t="s">
        <v>425</v>
      </c>
      <c r="F93" s="29"/>
      <c r="H93" s="29"/>
    </row>
    <row r="94">
      <c r="A94" s="25">
        <v>46044.0</v>
      </c>
      <c r="B94" s="26">
        <v>0.5520833333333334</v>
      </c>
      <c r="C94" s="29" t="s">
        <v>1158</v>
      </c>
      <c r="D94" s="29" t="s">
        <v>821</v>
      </c>
      <c r="E94" s="29" t="s">
        <v>1159</v>
      </c>
      <c r="F94" s="29"/>
      <c r="H94" s="29"/>
    </row>
    <row r="95">
      <c r="A95" s="25">
        <v>46044.0</v>
      </c>
      <c r="B95" s="26">
        <v>0.5625</v>
      </c>
      <c r="C95" s="29" t="s">
        <v>1160</v>
      </c>
      <c r="D95" s="29" t="s">
        <v>1161</v>
      </c>
      <c r="E95" s="29" t="s">
        <v>435</v>
      </c>
      <c r="F95" s="29"/>
      <c r="H95" s="29"/>
    </row>
    <row r="96">
      <c r="A96" s="25">
        <v>46044.0</v>
      </c>
      <c r="B96" s="26">
        <v>0.5729166666666666</v>
      </c>
      <c r="C96" s="29" t="s">
        <v>1162</v>
      </c>
      <c r="D96" s="29" t="s">
        <v>1163</v>
      </c>
      <c r="E96" s="29" t="s">
        <v>1164</v>
      </c>
      <c r="F96" s="29"/>
      <c r="H96" s="29"/>
    </row>
    <row r="97">
      <c r="A97" s="25">
        <v>46044.0</v>
      </c>
      <c r="B97" s="26">
        <v>0.5833333333333334</v>
      </c>
      <c r="C97" s="29" t="s">
        <v>1165</v>
      </c>
      <c r="D97" s="29" t="s">
        <v>816</v>
      </c>
      <c r="E97" s="29" t="s">
        <v>444</v>
      </c>
      <c r="F97" s="29"/>
      <c r="H97" s="29"/>
    </row>
    <row r="98">
      <c r="A98" s="25">
        <v>46044.0</v>
      </c>
      <c r="B98" s="26">
        <v>0.59375</v>
      </c>
      <c r="C98" s="29" t="s">
        <v>1166</v>
      </c>
      <c r="D98" s="29" t="s">
        <v>816</v>
      </c>
      <c r="E98" s="29" t="s">
        <v>449</v>
      </c>
      <c r="F98" s="29"/>
      <c r="H98" s="29"/>
    </row>
    <row r="99">
      <c r="A99" s="25">
        <v>46044.0</v>
      </c>
      <c r="B99" s="26">
        <v>0.6041666666666666</v>
      </c>
      <c r="C99" s="29" t="s">
        <v>1167</v>
      </c>
      <c r="D99" s="29" t="s">
        <v>816</v>
      </c>
      <c r="E99" s="29" t="s">
        <v>1168</v>
      </c>
      <c r="F99" s="29"/>
      <c r="H99" s="29"/>
    </row>
    <row r="100">
      <c r="A100" s="25">
        <v>46044.0</v>
      </c>
      <c r="B100" s="26">
        <v>0.6145833333333334</v>
      </c>
      <c r="C100" s="29" t="s">
        <v>1169</v>
      </c>
      <c r="D100" s="29" t="s">
        <v>816</v>
      </c>
      <c r="E100" s="29" t="s">
        <v>454</v>
      </c>
      <c r="F100" s="29"/>
      <c r="H100" s="29"/>
    </row>
    <row r="101">
      <c r="A101" s="25">
        <v>46044.0</v>
      </c>
      <c r="B101" s="26">
        <v>0.625</v>
      </c>
      <c r="C101" s="29" t="s">
        <v>1170</v>
      </c>
      <c r="D101" s="29" t="s">
        <v>1171</v>
      </c>
      <c r="E101" s="29" t="s">
        <v>459</v>
      </c>
      <c r="F101" s="29"/>
      <c r="H101" s="29"/>
    </row>
    <row r="102">
      <c r="A102" s="25">
        <v>46044.0</v>
      </c>
      <c r="B102" s="26">
        <v>0.6354166666666666</v>
      </c>
      <c r="C102" s="29" t="s">
        <v>1172</v>
      </c>
      <c r="D102" s="29" t="s">
        <v>1173</v>
      </c>
      <c r="E102" s="29" t="s">
        <v>464</v>
      </c>
      <c r="F102" s="29"/>
      <c r="H102" s="29"/>
    </row>
    <row r="103">
      <c r="A103" s="25">
        <v>46044.0</v>
      </c>
      <c r="B103" s="26">
        <v>0.6458333333333334</v>
      </c>
      <c r="C103" s="29" t="s">
        <v>1174</v>
      </c>
      <c r="D103" s="29" t="s">
        <v>1175</v>
      </c>
      <c r="E103" s="29" t="s">
        <v>469</v>
      </c>
      <c r="F103" s="29"/>
      <c r="H103" s="29"/>
    </row>
    <row r="104">
      <c r="A104" s="25">
        <v>46044.0</v>
      </c>
      <c r="B104" s="26">
        <v>0.6666666666666666</v>
      </c>
      <c r="C104" s="29" t="s">
        <v>1176</v>
      </c>
      <c r="D104" s="29" t="s">
        <v>1177</v>
      </c>
      <c r="E104" s="29" t="s">
        <v>474</v>
      </c>
      <c r="F104" s="29"/>
      <c r="H104" s="29"/>
    </row>
    <row r="105">
      <c r="A105" s="25">
        <v>46044.0</v>
      </c>
      <c r="B105" s="26">
        <v>0.6770833333333334</v>
      </c>
      <c r="C105" s="29" t="s">
        <v>1178</v>
      </c>
      <c r="D105" s="29" t="s">
        <v>1179</v>
      </c>
      <c r="E105" s="29" t="s">
        <v>1180</v>
      </c>
      <c r="F105" s="29"/>
      <c r="H105" s="29"/>
    </row>
    <row r="106">
      <c r="A106" s="25">
        <v>46044.0</v>
      </c>
      <c r="B106" s="26">
        <v>0.6875</v>
      </c>
      <c r="C106" s="29" t="s">
        <v>1181</v>
      </c>
      <c r="D106" s="29" t="s">
        <v>1182</v>
      </c>
      <c r="E106" s="29" t="s">
        <v>484</v>
      </c>
      <c r="F106" s="29"/>
      <c r="H106" s="29"/>
    </row>
    <row r="107">
      <c r="A107" s="25">
        <v>46044.0</v>
      </c>
      <c r="B107" s="26">
        <v>0.6979166666666666</v>
      </c>
      <c r="C107" s="29" t="s">
        <v>1183</v>
      </c>
      <c r="D107" s="29" t="s">
        <v>1054</v>
      </c>
      <c r="E107" s="29" t="s">
        <v>489</v>
      </c>
      <c r="F107" s="29"/>
      <c r="H107" s="29"/>
    </row>
    <row r="108">
      <c r="A108" s="25">
        <v>46044.0</v>
      </c>
      <c r="B108" s="26">
        <v>0.7083333333333334</v>
      </c>
      <c r="C108" s="29" t="s">
        <v>1184</v>
      </c>
      <c r="D108" s="29" t="s">
        <v>1054</v>
      </c>
      <c r="E108" s="29" t="s">
        <v>493</v>
      </c>
      <c r="F108" s="29"/>
      <c r="H108" s="29"/>
    </row>
    <row r="109">
      <c r="A109" s="25">
        <v>46044.0</v>
      </c>
      <c r="B109" s="26">
        <v>0.71875</v>
      </c>
      <c r="C109" s="29" t="s">
        <v>1185</v>
      </c>
      <c r="D109" s="29" t="s">
        <v>816</v>
      </c>
      <c r="E109" s="29" t="s">
        <v>498</v>
      </c>
      <c r="F109" s="29"/>
      <c r="H109" s="29"/>
    </row>
    <row r="110">
      <c r="A110" s="25">
        <v>46045.0</v>
      </c>
      <c r="B110" s="26">
        <v>0.5833333333333334</v>
      </c>
      <c r="C110" s="29" t="s">
        <v>1186</v>
      </c>
      <c r="D110" s="29" t="s">
        <v>505</v>
      </c>
      <c r="E110" s="29" t="s">
        <v>503</v>
      </c>
      <c r="F110" s="29"/>
      <c r="H110" s="29"/>
    </row>
    <row r="111">
      <c r="A111" s="25">
        <v>46045.0</v>
      </c>
      <c r="B111" s="26">
        <v>0.59375</v>
      </c>
      <c r="C111" s="29" t="s">
        <v>1187</v>
      </c>
      <c r="D111" s="29" t="s">
        <v>942</v>
      </c>
      <c r="E111" s="29" t="s">
        <v>508</v>
      </c>
      <c r="F111" s="29"/>
      <c r="H111" s="29"/>
    </row>
    <row r="112">
      <c r="A112" s="25">
        <v>46045.0</v>
      </c>
      <c r="B112" s="26">
        <v>0.6041666666666666</v>
      </c>
      <c r="C112" s="29" t="s">
        <v>1188</v>
      </c>
      <c r="D112" s="29" t="s">
        <v>515</v>
      </c>
      <c r="E112" s="29" t="s">
        <v>513</v>
      </c>
      <c r="F112" s="29"/>
      <c r="H112" s="29"/>
    </row>
    <row r="113">
      <c r="A113" s="25">
        <v>46045.0</v>
      </c>
      <c r="B113" s="26">
        <v>0.6145833333333334</v>
      </c>
      <c r="C113" s="29" t="s">
        <v>1189</v>
      </c>
      <c r="D113" s="29" t="s">
        <v>942</v>
      </c>
      <c r="E113" s="29" t="s">
        <v>518</v>
      </c>
      <c r="F113" s="29"/>
      <c r="H113" s="29"/>
    </row>
    <row r="114">
      <c r="A114" s="25">
        <v>46045.0</v>
      </c>
      <c r="B114" s="26">
        <v>0.625</v>
      </c>
      <c r="C114" s="29" t="s">
        <v>1190</v>
      </c>
      <c r="D114" s="29" t="s">
        <v>173</v>
      </c>
      <c r="E114" s="29" t="s">
        <v>522</v>
      </c>
      <c r="F114" s="29"/>
      <c r="H114" s="29"/>
    </row>
    <row r="115">
      <c r="A115" s="25">
        <v>46045.0</v>
      </c>
      <c r="B115" s="26">
        <v>0.6354166666666666</v>
      </c>
      <c r="C115" s="29" t="s">
        <v>1191</v>
      </c>
      <c r="D115" s="29" t="s">
        <v>528</v>
      </c>
      <c r="E115" s="29" t="s">
        <v>526</v>
      </c>
      <c r="F115" s="29"/>
      <c r="H115" s="29"/>
    </row>
    <row r="116">
      <c r="A116" s="25">
        <v>46045.0</v>
      </c>
      <c r="B116" s="26">
        <v>0.6458333333333334</v>
      </c>
      <c r="C116" s="29" t="s">
        <v>1192</v>
      </c>
      <c r="D116" s="29" t="s">
        <v>120</v>
      </c>
      <c r="E116" s="29" t="s">
        <v>531</v>
      </c>
      <c r="F116" s="29"/>
      <c r="H116" s="29"/>
    </row>
    <row r="117">
      <c r="A117" s="25">
        <v>46045.0</v>
      </c>
      <c r="B117" s="26">
        <v>0.65625</v>
      </c>
      <c r="C117" s="29" t="s">
        <v>1193</v>
      </c>
      <c r="D117" s="29" t="s">
        <v>528</v>
      </c>
      <c r="E117" s="29" t="s">
        <v>535</v>
      </c>
      <c r="F117" s="29"/>
      <c r="H117" s="29"/>
    </row>
    <row r="118">
      <c r="A118" s="25">
        <v>46045.0</v>
      </c>
      <c r="B118" s="26">
        <v>0.6666666666666666</v>
      </c>
      <c r="C118" s="29" t="s">
        <v>1194</v>
      </c>
      <c r="D118" s="29" t="s">
        <v>1195</v>
      </c>
      <c r="E118" s="29" t="s">
        <v>539</v>
      </c>
      <c r="F118" s="29"/>
      <c r="H118" s="29"/>
    </row>
    <row r="119">
      <c r="A119" s="25">
        <v>46045.0</v>
      </c>
      <c r="B119" s="26">
        <v>0.6875</v>
      </c>
      <c r="C119" s="29" t="s">
        <v>1196</v>
      </c>
      <c r="D119" s="29" t="s">
        <v>1197</v>
      </c>
      <c r="E119" s="29" t="s">
        <v>544</v>
      </c>
      <c r="F119" s="29"/>
      <c r="H119" s="29"/>
    </row>
    <row r="120">
      <c r="A120" s="25">
        <v>46045.0</v>
      </c>
      <c r="B120" s="26">
        <v>0.6979166666666666</v>
      </c>
      <c r="C120" s="29" t="s">
        <v>1198</v>
      </c>
      <c r="D120" s="29" t="s">
        <v>978</v>
      </c>
      <c r="E120" s="29" t="s">
        <v>549</v>
      </c>
      <c r="F120" s="29"/>
      <c r="H120" s="29"/>
    </row>
    <row r="121">
      <c r="A121" s="25">
        <v>46045.0</v>
      </c>
      <c r="B121" s="26">
        <v>0.5833333333333334</v>
      </c>
      <c r="C121" s="29" t="s">
        <v>1083</v>
      </c>
      <c r="D121" s="29" t="s">
        <v>978</v>
      </c>
      <c r="E121" s="29" t="s">
        <v>688</v>
      </c>
      <c r="F121" s="29"/>
      <c r="H121" s="29"/>
    </row>
    <row r="122">
      <c r="A122" s="25">
        <v>46045.0</v>
      </c>
      <c r="B122" s="26">
        <v>0.59375</v>
      </c>
      <c r="C122" s="29" t="s">
        <v>1084</v>
      </c>
      <c r="D122" s="29" t="s">
        <v>1085</v>
      </c>
      <c r="E122" s="29" t="s">
        <v>718</v>
      </c>
      <c r="F122" s="29"/>
      <c r="H122" s="29"/>
    </row>
    <row r="123">
      <c r="A123" s="25">
        <v>46045.0</v>
      </c>
      <c r="B123" s="26">
        <v>0.6041666666666666</v>
      </c>
      <c r="C123" s="29" t="s">
        <v>1086</v>
      </c>
      <c r="D123" s="29" t="s">
        <v>120</v>
      </c>
      <c r="E123" s="29" t="s">
        <v>554</v>
      </c>
      <c r="F123" s="29"/>
      <c r="H123" s="29"/>
    </row>
    <row r="124">
      <c r="A124" s="25">
        <v>46045.0</v>
      </c>
      <c r="B124" s="26">
        <v>0.6145833333333334</v>
      </c>
      <c r="C124" s="29" t="s">
        <v>1087</v>
      </c>
      <c r="D124" s="29" t="s">
        <v>1088</v>
      </c>
      <c r="E124" s="29" t="s">
        <v>559</v>
      </c>
      <c r="F124" s="29"/>
      <c r="H124" s="29"/>
    </row>
    <row r="125">
      <c r="A125" s="25">
        <v>46045.0</v>
      </c>
      <c r="B125" s="26">
        <v>0.625</v>
      </c>
      <c r="C125" s="29" t="s">
        <v>1089</v>
      </c>
      <c r="D125" s="29" t="s">
        <v>173</v>
      </c>
      <c r="E125" s="29" t="s">
        <v>564</v>
      </c>
      <c r="F125" s="29"/>
      <c r="H125" s="29"/>
    </row>
    <row r="126">
      <c r="A126" s="25">
        <v>46045.0</v>
      </c>
      <c r="B126" s="26">
        <v>0.6354166666666666</v>
      </c>
      <c r="C126" s="29" t="s">
        <v>1090</v>
      </c>
      <c r="D126" s="29" t="s">
        <v>16</v>
      </c>
      <c r="E126" s="29" t="s">
        <v>568</v>
      </c>
      <c r="F126" s="29"/>
      <c r="H126" s="29"/>
    </row>
    <row r="127">
      <c r="A127" s="25">
        <v>46045.0</v>
      </c>
      <c r="B127" s="26">
        <v>0.6666666666666666</v>
      </c>
      <c r="C127" s="29" t="s">
        <v>1199</v>
      </c>
      <c r="D127" s="29" t="s">
        <v>120</v>
      </c>
      <c r="E127" s="29" t="s">
        <v>573</v>
      </c>
      <c r="F127" s="29"/>
      <c r="H127" s="29"/>
    </row>
    <row r="128">
      <c r="A128" s="25">
        <v>46045.0</v>
      </c>
      <c r="B128" s="26">
        <v>0.6770833333333334</v>
      </c>
      <c r="C128" s="29" t="s">
        <v>1200</v>
      </c>
      <c r="D128" s="29" t="s">
        <v>978</v>
      </c>
      <c r="E128" s="29" t="s">
        <v>697</v>
      </c>
      <c r="F128" s="29"/>
      <c r="H128" s="29"/>
    </row>
    <row r="129">
      <c r="A129" s="25">
        <v>46045.0</v>
      </c>
      <c r="B129" s="26">
        <v>0.6875</v>
      </c>
      <c r="C129" s="29" t="s">
        <v>1201</v>
      </c>
      <c r="D129" s="29" t="s">
        <v>942</v>
      </c>
      <c r="E129" s="29" t="s">
        <v>577</v>
      </c>
      <c r="F129" s="29"/>
      <c r="H129" s="29"/>
    </row>
    <row r="130">
      <c r="A130" s="25">
        <v>46045.0</v>
      </c>
      <c r="B130" s="26">
        <v>0.6979166666666666</v>
      </c>
      <c r="C130" s="29" t="s">
        <v>1202</v>
      </c>
      <c r="D130" s="29" t="s">
        <v>1203</v>
      </c>
      <c r="E130" s="29" t="s">
        <v>580</v>
      </c>
      <c r="F130" s="29"/>
      <c r="H130" s="29"/>
    </row>
    <row r="131">
      <c r="A131" s="25">
        <v>46045.0</v>
      </c>
      <c r="B131" s="26">
        <v>0.7083333333333334</v>
      </c>
      <c r="C131" s="29" t="s">
        <v>1204</v>
      </c>
      <c r="D131" s="29" t="s">
        <v>1205</v>
      </c>
      <c r="E131" s="29" t="s">
        <v>585</v>
      </c>
      <c r="F131" s="29"/>
      <c r="H131" s="29"/>
    </row>
    <row r="132">
      <c r="A132" s="25">
        <v>46045.0</v>
      </c>
      <c r="B132" s="26">
        <v>0.71875</v>
      </c>
      <c r="C132" s="29" t="s">
        <v>1206</v>
      </c>
      <c r="D132" s="29" t="s">
        <v>1155</v>
      </c>
      <c r="E132" s="29" t="s">
        <v>590</v>
      </c>
      <c r="F132" s="29"/>
      <c r="H132" s="29"/>
    </row>
    <row r="133">
      <c r="A133" s="25">
        <v>46045.0</v>
      </c>
      <c r="B133" s="26">
        <v>0.7291666666666666</v>
      </c>
      <c r="C133" s="29" t="s">
        <v>1207</v>
      </c>
      <c r="D133" s="29" t="s">
        <v>120</v>
      </c>
      <c r="E133" s="29" t="s">
        <v>595</v>
      </c>
      <c r="F133" s="29"/>
      <c r="H133" s="29"/>
    </row>
    <row r="134">
      <c r="A134" s="25">
        <v>46045.0</v>
      </c>
      <c r="B134" s="26">
        <v>0.7604166666666666</v>
      </c>
      <c r="C134" s="29" t="s">
        <v>1208</v>
      </c>
      <c r="D134" s="29" t="s">
        <v>1209</v>
      </c>
      <c r="E134" s="29" t="s">
        <v>1210</v>
      </c>
      <c r="F134" s="29"/>
      <c r="H134" s="29"/>
    </row>
    <row r="135">
      <c r="A135" s="25">
        <v>46045.0</v>
      </c>
      <c r="B135" s="26">
        <v>0.7708333333333334</v>
      </c>
      <c r="C135" s="29" t="s">
        <v>1211</v>
      </c>
      <c r="D135" s="29" t="s">
        <v>627</v>
      </c>
      <c r="E135" s="29" t="s">
        <v>605</v>
      </c>
      <c r="F135" s="29"/>
      <c r="H135" s="29"/>
    </row>
    <row r="136">
      <c r="A136" s="25">
        <v>46045.0</v>
      </c>
      <c r="B136" s="26">
        <v>0.78125</v>
      </c>
      <c r="C136" s="29" t="s">
        <v>1212</v>
      </c>
      <c r="D136" s="29" t="s">
        <v>612</v>
      </c>
      <c r="E136" s="29" t="s">
        <v>610</v>
      </c>
      <c r="F136" s="29"/>
      <c r="H136" s="29"/>
    </row>
    <row r="137">
      <c r="A137" s="25">
        <v>46045.0</v>
      </c>
      <c r="B137" s="26">
        <v>0.7916666666666666</v>
      </c>
      <c r="C137" s="29" t="s">
        <v>1213</v>
      </c>
      <c r="D137" s="29" t="s">
        <v>802</v>
      </c>
      <c r="E137" s="29" t="s">
        <v>615</v>
      </c>
      <c r="F137" s="29"/>
      <c r="H137" s="29"/>
    </row>
    <row r="138">
      <c r="A138" s="25">
        <v>46045.0</v>
      </c>
      <c r="B138" s="26">
        <v>0.8020833333333334</v>
      </c>
      <c r="C138" s="29" t="s">
        <v>1214</v>
      </c>
      <c r="D138" s="29" t="s">
        <v>1175</v>
      </c>
      <c r="E138" s="29" t="s">
        <v>620</v>
      </c>
      <c r="F138" s="29"/>
      <c r="H138" s="29"/>
    </row>
    <row r="139">
      <c r="A139" s="25">
        <v>46045.0</v>
      </c>
      <c r="B139" s="26">
        <v>0.8125</v>
      </c>
      <c r="C139" s="29" t="s">
        <v>1215</v>
      </c>
      <c r="D139" s="29" t="s">
        <v>627</v>
      </c>
      <c r="E139" s="29" t="s">
        <v>625</v>
      </c>
      <c r="F139" s="29"/>
      <c r="H139" s="29"/>
    </row>
    <row r="140">
      <c r="A140" s="25">
        <v>46045.0</v>
      </c>
      <c r="B140" s="26">
        <v>0.8229166666666666</v>
      </c>
      <c r="C140" s="29" t="s">
        <v>1216</v>
      </c>
      <c r="D140" s="29" t="s">
        <v>942</v>
      </c>
      <c r="E140" s="29" t="s">
        <v>1217</v>
      </c>
      <c r="F140" s="29"/>
      <c r="H140" s="29"/>
    </row>
    <row r="141">
      <c r="A141" s="25">
        <v>46045.0</v>
      </c>
      <c r="B141" s="26">
        <v>0.5833333333333334</v>
      </c>
      <c r="C141" s="29" t="s">
        <v>1218</v>
      </c>
      <c r="D141" s="29" t="s">
        <v>1116</v>
      </c>
      <c r="E141" s="29" t="s">
        <v>635</v>
      </c>
      <c r="F141" s="29"/>
      <c r="H141" s="29"/>
    </row>
    <row r="142">
      <c r="A142" s="25">
        <v>46045.0</v>
      </c>
      <c r="B142" s="26">
        <v>0.59375</v>
      </c>
      <c r="C142" s="29" t="s">
        <v>1219</v>
      </c>
      <c r="D142" s="29" t="s">
        <v>816</v>
      </c>
      <c r="E142" s="29" t="s">
        <v>640</v>
      </c>
      <c r="F142" s="29"/>
      <c r="H142" s="29"/>
    </row>
    <row r="143">
      <c r="A143" s="25">
        <v>46045.0</v>
      </c>
      <c r="B143" s="26">
        <v>0.6041666666666666</v>
      </c>
      <c r="C143" s="29" t="s">
        <v>1220</v>
      </c>
      <c r="D143" s="29" t="s">
        <v>978</v>
      </c>
      <c r="E143" s="29" t="s">
        <v>714</v>
      </c>
      <c r="F143" s="29"/>
      <c r="H143" s="29"/>
    </row>
    <row r="144">
      <c r="A144" s="25">
        <v>46045.0</v>
      </c>
      <c r="B144" s="26">
        <v>0.6145833333333334</v>
      </c>
      <c r="C144" s="29" t="s">
        <v>1221</v>
      </c>
      <c r="D144" s="29" t="s">
        <v>120</v>
      </c>
      <c r="E144" s="29" t="s">
        <v>645</v>
      </c>
      <c r="F144" s="29"/>
      <c r="H144" s="29"/>
    </row>
    <row r="145">
      <c r="A145" s="25">
        <v>46045.0</v>
      </c>
      <c r="B145" s="26">
        <v>0.625</v>
      </c>
      <c r="C145" s="29" t="s">
        <v>1222</v>
      </c>
      <c r="D145" s="29" t="s">
        <v>978</v>
      </c>
      <c r="E145" s="29" t="s">
        <v>650</v>
      </c>
      <c r="F145" s="29"/>
      <c r="H145" s="29"/>
    </row>
    <row r="146">
      <c r="A146" s="25">
        <v>46045.0</v>
      </c>
      <c r="B146" s="26">
        <v>0.6354166666666666</v>
      </c>
      <c r="C146" s="29" t="s">
        <v>1223</v>
      </c>
      <c r="D146" s="29" t="s">
        <v>1224</v>
      </c>
      <c r="E146" s="29" t="s">
        <v>654</v>
      </c>
      <c r="F146" s="29"/>
      <c r="H146" s="29"/>
    </row>
    <row r="147">
      <c r="A147" s="25">
        <v>46045.0</v>
      </c>
      <c r="B147" s="26">
        <v>0.6666666666666666</v>
      </c>
      <c r="C147" s="29" t="s">
        <v>1225</v>
      </c>
      <c r="D147" s="29" t="s">
        <v>1226</v>
      </c>
      <c r="E147" s="29" t="s">
        <v>659</v>
      </c>
      <c r="F147" s="29"/>
      <c r="H147" s="29"/>
    </row>
    <row r="148">
      <c r="A148" s="25">
        <v>46045.0</v>
      </c>
      <c r="B148" s="26">
        <v>0.6770833333333334</v>
      </c>
      <c r="C148" s="29" t="s">
        <v>1227</v>
      </c>
      <c r="D148" s="29" t="s">
        <v>978</v>
      </c>
      <c r="E148" s="29" t="s">
        <v>664</v>
      </c>
      <c r="F148" s="29"/>
      <c r="H148" s="29"/>
    </row>
    <row r="149">
      <c r="A149" s="25">
        <v>46045.0</v>
      </c>
      <c r="B149" s="26">
        <v>0.6875</v>
      </c>
      <c r="C149" s="29" t="s">
        <v>1228</v>
      </c>
      <c r="D149" s="29" t="s">
        <v>612</v>
      </c>
      <c r="E149" s="29" t="s">
        <v>668</v>
      </c>
      <c r="F149" s="29"/>
      <c r="H149" s="29"/>
    </row>
    <row r="150">
      <c r="A150" s="25">
        <v>46045.0</v>
      </c>
      <c r="B150" s="26">
        <v>0.6979166666666666</v>
      </c>
      <c r="C150" s="29" t="s">
        <v>1229</v>
      </c>
      <c r="D150" s="29" t="s">
        <v>120</v>
      </c>
      <c r="E150" s="29" t="s">
        <v>672</v>
      </c>
      <c r="F150" s="29"/>
      <c r="H150" s="29"/>
    </row>
    <row r="151">
      <c r="A151" s="25">
        <v>46045.0</v>
      </c>
      <c r="B151" s="26">
        <v>0.7083333333333334</v>
      </c>
      <c r="C151" s="29" t="s">
        <v>1230</v>
      </c>
      <c r="D151" s="29" t="s">
        <v>120</v>
      </c>
      <c r="E151" s="29" t="s">
        <v>675</v>
      </c>
      <c r="F151" s="29"/>
      <c r="H151" s="29"/>
    </row>
    <row r="152">
      <c r="A152" s="25">
        <v>46045.0</v>
      </c>
      <c r="B152" s="26">
        <v>0.71875</v>
      </c>
      <c r="C152" s="29" t="s">
        <v>1231</v>
      </c>
      <c r="D152" s="29" t="s">
        <v>978</v>
      </c>
      <c r="E152" s="29" t="s">
        <v>679</v>
      </c>
      <c r="F152" s="29"/>
      <c r="H152" s="29"/>
    </row>
    <row r="153">
      <c r="A153" s="25">
        <v>46045.0</v>
      </c>
      <c r="B153" s="26">
        <v>0.7291666666666666</v>
      </c>
      <c r="C153" s="29" t="s">
        <v>1232</v>
      </c>
      <c r="D153" s="29" t="s">
        <v>1233</v>
      </c>
      <c r="E153" s="29" t="s">
        <v>683</v>
      </c>
      <c r="F153" s="29"/>
      <c r="H153" s="29"/>
    </row>
    <row r="154">
      <c r="A154" s="25">
        <v>46045.0</v>
      </c>
      <c r="B154" s="26">
        <v>0.7604166666666666</v>
      </c>
      <c r="C154" s="29" t="s">
        <v>1083</v>
      </c>
      <c r="D154" s="29" t="s">
        <v>978</v>
      </c>
      <c r="E154" s="29" t="s">
        <v>688</v>
      </c>
      <c r="F154" s="29"/>
      <c r="H154" s="29"/>
    </row>
    <row r="155">
      <c r="A155" s="25">
        <v>46045.0</v>
      </c>
      <c r="B155" s="26">
        <v>0.7708333333333334</v>
      </c>
      <c r="C155" s="29" t="s">
        <v>1234</v>
      </c>
      <c r="D155" s="29" t="s">
        <v>978</v>
      </c>
      <c r="E155" s="29" t="s">
        <v>1235</v>
      </c>
      <c r="F155" s="29"/>
      <c r="H155" s="29"/>
    </row>
    <row r="156">
      <c r="A156" s="25">
        <v>46045.0</v>
      </c>
      <c r="B156" s="26">
        <v>0.78125</v>
      </c>
      <c r="C156" s="29" t="s">
        <v>1200</v>
      </c>
      <c r="D156" s="29" t="s">
        <v>978</v>
      </c>
      <c r="E156" s="29" t="s">
        <v>697</v>
      </c>
      <c r="F156" s="29"/>
      <c r="H156" s="29"/>
    </row>
    <row r="157">
      <c r="A157" s="25">
        <v>46045.0</v>
      </c>
      <c r="B157" s="26">
        <v>0.7916666666666666</v>
      </c>
      <c r="C157" s="29" t="s">
        <v>1236</v>
      </c>
      <c r="D157" s="29" t="s">
        <v>942</v>
      </c>
      <c r="E157" s="29" t="s">
        <v>701</v>
      </c>
      <c r="F157" s="29"/>
      <c r="H157" s="29"/>
    </row>
    <row r="158">
      <c r="A158" s="25">
        <v>46045.0</v>
      </c>
      <c r="B158" s="26">
        <v>0.8020833333333334</v>
      </c>
      <c r="C158" s="29" t="s">
        <v>1237</v>
      </c>
      <c r="D158" s="29" t="s">
        <v>16</v>
      </c>
      <c r="E158" s="29" t="s">
        <v>706</v>
      </c>
      <c r="F158" s="29"/>
      <c r="H158" s="29"/>
    </row>
    <row r="159">
      <c r="A159" s="25">
        <v>46045.0</v>
      </c>
      <c r="B159" s="26">
        <v>0.8125</v>
      </c>
      <c r="C159" s="29" t="s">
        <v>1238</v>
      </c>
      <c r="D159" s="29" t="s">
        <v>942</v>
      </c>
      <c r="E159" s="29" t="s">
        <v>710</v>
      </c>
      <c r="F159" s="29"/>
      <c r="H159" s="29"/>
    </row>
    <row r="160">
      <c r="A160" s="25">
        <v>46045.0</v>
      </c>
      <c r="B160" s="26">
        <v>0.8229166666666666</v>
      </c>
      <c r="C160" s="29" t="s">
        <v>1220</v>
      </c>
      <c r="D160" s="29" t="s">
        <v>978</v>
      </c>
      <c r="E160" s="29" t="s">
        <v>714</v>
      </c>
      <c r="F160" s="29"/>
      <c r="H160" s="29"/>
    </row>
    <row r="161">
      <c r="A161" s="25">
        <v>46045.0</v>
      </c>
      <c r="B161" s="26">
        <v>0.8333333333333334</v>
      </c>
      <c r="C161" s="29" t="s">
        <v>1084</v>
      </c>
      <c r="D161" s="29" t="s">
        <v>1085</v>
      </c>
      <c r="E161" s="29" t="s">
        <v>718</v>
      </c>
      <c r="F161" s="29"/>
      <c r="H161" s="29"/>
    </row>
    <row r="162">
      <c r="A162" s="38"/>
      <c r="B162" s="38"/>
      <c r="C162" s="38"/>
      <c r="D162" s="38"/>
      <c r="F162" s="38"/>
    </row>
    <row r="163">
      <c r="A163" s="38"/>
      <c r="B163" s="38"/>
      <c r="C163" s="38"/>
      <c r="D163" s="38"/>
      <c r="F163" s="38"/>
    </row>
    <row r="164">
      <c r="A164" s="38"/>
      <c r="B164" s="38"/>
      <c r="C164" s="38"/>
      <c r="D164" s="38"/>
      <c r="F164" s="38"/>
    </row>
    <row r="165">
      <c r="A165" s="38"/>
      <c r="B165" s="38"/>
      <c r="C165" s="38"/>
      <c r="D165" s="38"/>
      <c r="F165" s="38"/>
    </row>
    <row r="166">
      <c r="A166" s="38"/>
      <c r="B166" s="38"/>
      <c r="C166" s="38"/>
      <c r="D166" s="38"/>
      <c r="F166" s="38"/>
    </row>
    <row r="167">
      <c r="A167" s="38"/>
      <c r="B167" s="38"/>
      <c r="C167" s="38"/>
      <c r="D167" s="38"/>
      <c r="F167" s="38"/>
    </row>
    <row r="168">
      <c r="A168" s="38"/>
      <c r="B168" s="38"/>
      <c r="C168" s="38"/>
      <c r="D168" s="38"/>
      <c r="F168" s="38"/>
    </row>
    <row r="169">
      <c r="A169" s="38"/>
      <c r="B169" s="38"/>
      <c r="C169" s="38"/>
      <c r="D169" s="38"/>
      <c r="F169" s="38"/>
    </row>
    <row r="170">
      <c r="A170" s="38"/>
      <c r="B170" s="38"/>
      <c r="C170" s="38"/>
      <c r="D170" s="38"/>
      <c r="F170" s="38"/>
    </row>
    <row r="171">
      <c r="A171" s="38"/>
      <c r="B171" s="38"/>
      <c r="C171" s="38"/>
      <c r="D171" s="38"/>
      <c r="F171" s="38"/>
    </row>
    <row r="172">
      <c r="A172" s="38"/>
      <c r="B172" s="38"/>
      <c r="C172" s="38"/>
      <c r="D172" s="38"/>
      <c r="F172" s="38"/>
    </row>
    <row r="173">
      <c r="A173" s="38"/>
      <c r="B173" s="38"/>
      <c r="C173" s="38"/>
      <c r="D173" s="38"/>
      <c r="F173" s="38"/>
    </row>
    <row r="174">
      <c r="A174" s="38"/>
      <c r="B174" s="38"/>
      <c r="C174" s="38"/>
      <c r="D174" s="38"/>
      <c r="F174" s="38"/>
    </row>
    <row r="175">
      <c r="A175" s="38"/>
      <c r="B175" s="38"/>
      <c r="C175" s="38"/>
      <c r="D175" s="38"/>
      <c r="F175" s="38"/>
    </row>
    <row r="176">
      <c r="A176" s="38"/>
      <c r="B176" s="38"/>
      <c r="C176" s="38"/>
      <c r="D176" s="38"/>
      <c r="F176" s="38"/>
    </row>
    <row r="177">
      <c r="A177" s="38"/>
      <c r="B177" s="38"/>
      <c r="C177" s="38"/>
      <c r="D177" s="38"/>
      <c r="F177" s="38"/>
    </row>
    <row r="178">
      <c r="A178" s="38"/>
      <c r="B178" s="38"/>
      <c r="C178" s="38"/>
      <c r="D178" s="38"/>
      <c r="F178" s="38"/>
    </row>
    <row r="179">
      <c r="A179" s="38"/>
      <c r="B179" s="38"/>
      <c r="C179" s="38"/>
      <c r="D179" s="38"/>
      <c r="F179" s="38"/>
    </row>
    <row r="180">
      <c r="A180" s="38"/>
      <c r="B180" s="38"/>
      <c r="C180" s="38"/>
      <c r="D180" s="38"/>
      <c r="F180" s="38"/>
    </row>
    <row r="181">
      <c r="A181" s="38"/>
      <c r="B181" s="38"/>
      <c r="C181" s="38"/>
      <c r="D181" s="38"/>
      <c r="F181" s="38"/>
    </row>
    <row r="182">
      <c r="A182" s="38"/>
      <c r="B182" s="38"/>
      <c r="C182" s="38"/>
      <c r="D182" s="38"/>
      <c r="F182" s="38"/>
    </row>
    <row r="183">
      <c r="A183" s="38"/>
      <c r="B183" s="38"/>
      <c r="C183" s="38"/>
      <c r="D183" s="38"/>
      <c r="F183" s="38"/>
    </row>
    <row r="184">
      <c r="A184" s="38"/>
      <c r="B184" s="38"/>
      <c r="C184" s="38"/>
      <c r="D184" s="38"/>
      <c r="F184" s="38"/>
    </row>
    <row r="185">
      <c r="A185" s="38"/>
      <c r="B185" s="38"/>
      <c r="C185" s="38"/>
      <c r="D185" s="38"/>
      <c r="F185" s="38"/>
    </row>
    <row r="186">
      <c r="A186" s="38"/>
      <c r="B186" s="38"/>
      <c r="C186" s="38"/>
      <c r="D186" s="38"/>
      <c r="F186" s="38"/>
    </row>
    <row r="187">
      <c r="A187" s="38"/>
      <c r="B187" s="38"/>
      <c r="C187" s="38"/>
      <c r="D187" s="38"/>
      <c r="F187" s="38"/>
    </row>
    <row r="188">
      <c r="A188" s="38"/>
      <c r="B188" s="38"/>
      <c r="C188" s="38"/>
      <c r="D188" s="38"/>
      <c r="F188" s="38"/>
    </row>
    <row r="189">
      <c r="A189" s="38"/>
      <c r="B189" s="38"/>
      <c r="C189" s="38"/>
      <c r="D189" s="38"/>
      <c r="F189" s="38"/>
    </row>
    <row r="190">
      <c r="A190" s="38"/>
      <c r="B190" s="38"/>
      <c r="C190" s="38"/>
      <c r="D190" s="38"/>
      <c r="F190" s="38"/>
    </row>
    <row r="191">
      <c r="A191" s="38"/>
      <c r="B191" s="38"/>
      <c r="C191" s="38"/>
      <c r="D191" s="38"/>
      <c r="F191" s="38"/>
    </row>
    <row r="192">
      <c r="A192" s="38"/>
      <c r="B192" s="38"/>
      <c r="C192" s="38"/>
      <c r="D192" s="38"/>
      <c r="F192" s="38"/>
    </row>
    <row r="193">
      <c r="A193" s="38"/>
      <c r="B193" s="38"/>
      <c r="C193" s="38"/>
      <c r="D193" s="38"/>
      <c r="F193" s="38"/>
    </row>
    <row r="194">
      <c r="A194" s="38"/>
      <c r="B194" s="38"/>
      <c r="C194" s="38"/>
      <c r="D194" s="38"/>
      <c r="F194" s="38"/>
    </row>
    <row r="195">
      <c r="A195" s="38"/>
      <c r="B195" s="38"/>
      <c r="C195" s="38"/>
      <c r="D195" s="38"/>
      <c r="F195" s="38"/>
    </row>
    <row r="196">
      <c r="A196" s="38"/>
      <c r="B196" s="38"/>
      <c r="C196" s="38"/>
      <c r="D196" s="38"/>
      <c r="F196" s="38"/>
    </row>
    <row r="197">
      <c r="A197" s="38"/>
      <c r="B197" s="38"/>
      <c r="C197" s="38"/>
      <c r="D197" s="38"/>
      <c r="F197" s="38"/>
    </row>
    <row r="198">
      <c r="A198" s="38"/>
      <c r="B198" s="38"/>
      <c r="C198" s="38"/>
      <c r="D198" s="38"/>
      <c r="F198" s="38"/>
    </row>
    <row r="199">
      <c r="A199" s="38"/>
      <c r="B199" s="38"/>
      <c r="C199" s="38"/>
      <c r="D199" s="38"/>
      <c r="F199" s="38"/>
    </row>
    <row r="200">
      <c r="A200" s="38"/>
      <c r="B200" s="38"/>
      <c r="C200" s="38"/>
      <c r="D200" s="38"/>
      <c r="F200" s="38"/>
    </row>
    <row r="201">
      <c r="A201" s="38"/>
      <c r="B201" s="38"/>
      <c r="C201" s="38"/>
      <c r="D201" s="38"/>
      <c r="F201" s="38"/>
    </row>
    <row r="202">
      <c r="A202" s="38"/>
      <c r="B202" s="38"/>
      <c r="C202" s="38"/>
      <c r="D202" s="38"/>
      <c r="F202" s="38"/>
    </row>
    <row r="203">
      <c r="A203" s="38"/>
      <c r="B203" s="38"/>
      <c r="C203" s="38"/>
      <c r="D203" s="38"/>
      <c r="F203" s="38"/>
    </row>
    <row r="204">
      <c r="A204" s="38"/>
      <c r="B204" s="38"/>
      <c r="C204" s="38"/>
      <c r="D204" s="38"/>
      <c r="F204" s="38"/>
    </row>
    <row r="205">
      <c r="A205" s="38"/>
      <c r="B205" s="38"/>
      <c r="C205" s="38"/>
      <c r="D205" s="38"/>
      <c r="F205" s="38"/>
    </row>
    <row r="206">
      <c r="A206" s="38"/>
      <c r="B206" s="38"/>
      <c r="C206" s="38"/>
      <c r="D206" s="38"/>
      <c r="F206" s="38"/>
    </row>
    <row r="207">
      <c r="A207" s="38"/>
      <c r="B207" s="38"/>
      <c r="C207" s="38"/>
      <c r="D207" s="38"/>
      <c r="F207" s="38"/>
    </row>
    <row r="208">
      <c r="A208" s="38"/>
      <c r="B208" s="38"/>
      <c r="C208" s="38"/>
      <c r="D208" s="38"/>
      <c r="F208" s="38"/>
    </row>
    <row r="209">
      <c r="A209" s="38"/>
      <c r="B209" s="38"/>
      <c r="C209" s="38"/>
      <c r="D209" s="38"/>
      <c r="F209" s="38"/>
    </row>
    <row r="210">
      <c r="A210" s="38"/>
      <c r="B210" s="38"/>
      <c r="C210" s="38"/>
      <c r="D210" s="38"/>
      <c r="F210" s="38"/>
    </row>
    <row r="211">
      <c r="A211" s="38"/>
      <c r="B211" s="38"/>
      <c r="C211" s="38"/>
      <c r="D211" s="38"/>
      <c r="F211" s="38"/>
    </row>
    <row r="212">
      <c r="A212" s="38"/>
      <c r="B212" s="38"/>
      <c r="C212" s="38"/>
      <c r="D212" s="38"/>
      <c r="F212" s="38"/>
    </row>
    <row r="213">
      <c r="A213" s="38"/>
      <c r="B213" s="38"/>
      <c r="C213" s="38"/>
      <c r="D213" s="38"/>
      <c r="F213" s="38"/>
    </row>
    <row r="214">
      <c r="A214" s="38"/>
      <c r="B214" s="38"/>
      <c r="C214" s="38"/>
      <c r="D214" s="38"/>
      <c r="F214" s="38"/>
    </row>
    <row r="215">
      <c r="A215" s="38"/>
      <c r="B215" s="38"/>
      <c r="C215" s="38"/>
      <c r="D215" s="38"/>
      <c r="F215" s="38"/>
    </row>
    <row r="216">
      <c r="A216" s="38"/>
      <c r="B216" s="38"/>
      <c r="C216" s="38"/>
      <c r="D216" s="38"/>
      <c r="F216" s="38"/>
    </row>
    <row r="217">
      <c r="A217" s="38"/>
      <c r="B217" s="38"/>
      <c r="C217" s="38"/>
      <c r="D217" s="38"/>
      <c r="F217" s="38"/>
    </row>
    <row r="218">
      <c r="A218" s="38"/>
      <c r="B218" s="38"/>
      <c r="C218" s="38"/>
      <c r="D218" s="38"/>
      <c r="F218" s="38"/>
    </row>
    <row r="219">
      <c r="A219" s="38"/>
      <c r="B219" s="38"/>
      <c r="C219" s="38"/>
      <c r="D219" s="38"/>
      <c r="F219" s="38"/>
    </row>
    <row r="220">
      <c r="A220" s="38"/>
      <c r="B220" s="38"/>
      <c r="C220" s="38"/>
      <c r="D220" s="38"/>
      <c r="F220" s="38"/>
    </row>
    <row r="221">
      <c r="A221" s="38"/>
      <c r="B221" s="38"/>
      <c r="C221" s="38"/>
      <c r="D221" s="38"/>
      <c r="F221" s="38"/>
    </row>
    <row r="222">
      <c r="A222" s="38"/>
      <c r="B222" s="38"/>
      <c r="C222" s="38"/>
      <c r="D222" s="38"/>
      <c r="F222" s="38"/>
    </row>
    <row r="223">
      <c r="A223" s="38"/>
      <c r="B223" s="38"/>
      <c r="C223" s="38"/>
      <c r="D223" s="38"/>
      <c r="F223" s="38"/>
    </row>
    <row r="224">
      <c r="A224" s="38"/>
      <c r="B224" s="38"/>
      <c r="C224" s="38"/>
      <c r="D224" s="38"/>
      <c r="F224" s="38"/>
    </row>
    <row r="225">
      <c r="A225" s="38"/>
      <c r="B225" s="38"/>
      <c r="C225" s="38"/>
      <c r="D225" s="38"/>
      <c r="F225" s="38"/>
    </row>
    <row r="226">
      <c r="A226" s="38"/>
      <c r="B226" s="38"/>
      <c r="C226" s="38"/>
      <c r="D226" s="38"/>
      <c r="F226" s="38"/>
    </row>
    <row r="227">
      <c r="A227" s="38"/>
      <c r="B227" s="38"/>
      <c r="C227" s="38"/>
      <c r="D227" s="38"/>
      <c r="F227" s="38"/>
    </row>
    <row r="228">
      <c r="A228" s="38"/>
      <c r="B228" s="38"/>
      <c r="C228" s="38"/>
      <c r="D228" s="38"/>
      <c r="F228" s="38"/>
    </row>
    <row r="229">
      <c r="A229" s="38"/>
      <c r="B229" s="38"/>
      <c r="C229" s="38"/>
      <c r="D229" s="38"/>
      <c r="F229" s="38"/>
    </row>
    <row r="230">
      <c r="A230" s="38"/>
      <c r="B230" s="38"/>
      <c r="C230" s="38"/>
      <c r="D230" s="38"/>
      <c r="F230" s="38"/>
    </row>
    <row r="231">
      <c r="A231" s="38"/>
      <c r="B231" s="38"/>
      <c r="C231" s="38"/>
      <c r="D231" s="38"/>
      <c r="F231" s="38"/>
    </row>
    <row r="232">
      <c r="A232" s="38"/>
      <c r="B232" s="38"/>
      <c r="C232" s="38"/>
      <c r="D232" s="38"/>
      <c r="F232" s="38"/>
    </row>
    <row r="233">
      <c r="A233" s="38"/>
      <c r="B233" s="38"/>
      <c r="C233" s="38"/>
      <c r="D233" s="38"/>
      <c r="F233" s="38"/>
    </row>
    <row r="234">
      <c r="A234" s="38"/>
      <c r="B234" s="38"/>
      <c r="C234" s="38"/>
      <c r="D234" s="38"/>
      <c r="F234" s="38"/>
    </row>
    <row r="235">
      <c r="A235" s="38"/>
      <c r="B235" s="38"/>
      <c r="C235" s="38"/>
      <c r="D235" s="38"/>
      <c r="F235" s="38"/>
    </row>
    <row r="236">
      <c r="A236" s="38"/>
      <c r="B236" s="38"/>
      <c r="C236" s="38"/>
      <c r="D236" s="38"/>
      <c r="F236" s="38"/>
    </row>
    <row r="237">
      <c r="A237" s="38"/>
      <c r="B237" s="38"/>
      <c r="C237" s="38"/>
      <c r="D237" s="38"/>
      <c r="F237" s="38"/>
    </row>
    <row r="238">
      <c r="A238" s="38"/>
      <c r="B238" s="38"/>
      <c r="C238" s="38"/>
      <c r="D238" s="38"/>
      <c r="F238" s="38"/>
    </row>
    <row r="239">
      <c r="A239" s="38"/>
      <c r="B239" s="38"/>
      <c r="C239" s="38"/>
      <c r="D239" s="38"/>
      <c r="F239" s="38"/>
    </row>
    <row r="240">
      <c r="A240" s="38"/>
      <c r="B240" s="38"/>
      <c r="C240" s="38"/>
      <c r="D240" s="38"/>
      <c r="F240" s="38"/>
    </row>
    <row r="241">
      <c r="A241" s="38"/>
      <c r="B241" s="38"/>
      <c r="C241" s="38"/>
      <c r="D241" s="38"/>
      <c r="F241" s="38"/>
    </row>
    <row r="242">
      <c r="A242" s="38"/>
      <c r="B242" s="38"/>
      <c r="C242" s="38"/>
      <c r="D242" s="38"/>
      <c r="F242" s="38"/>
    </row>
    <row r="243">
      <c r="A243" s="38"/>
      <c r="B243" s="38"/>
      <c r="C243" s="38"/>
      <c r="D243" s="38"/>
      <c r="F243" s="38"/>
    </row>
    <row r="244">
      <c r="A244" s="38"/>
      <c r="B244" s="38"/>
      <c r="C244" s="38"/>
      <c r="D244" s="38"/>
      <c r="F244" s="38"/>
    </row>
    <row r="245">
      <c r="A245" s="38"/>
      <c r="B245" s="38"/>
      <c r="C245" s="38"/>
      <c r="D245" s="38"/>
      <c r="F245" s="38"/>
    </row>
    <row r="246">
      <c r="A246" s="38"/>
      <c r="B246" s="38"/>
      <c r="C246" s="38"/>
      <c r="D246" s="38"/>
      <c r="F246" s="38"/>
    </row>
    <row r="247">
      <c r="A247" s="38"/>
      <c r="B247" s="38"/>
      <c r="C247" s="38"/>
      <c r="D247" s="38"/>
      <c r="F247" s="38"/>
    </row>
    <row r="248">
      <c r="A248" s="38"/>
      <c r="B248" s="38"/>
      <c r="C248" s="38"/>
      <c r="D248" s="38"/>
      <c r="F248" s="38"/>
    </row>
    <row r="249">
      <c r="A249" s="38"/>
      <c r="B249" s="38"/>
      <c r="C249" s="38"/>
      <c r="D249" s="38"/>
      <c r="F249" s="38"/>
    </row>
    <row r="250">
      <c r="A250" s="38"/>
      <c r="B250" s="38"/>
      <c r="C250" s="38"/>
      <c r="D250" s="38"/>
      <c r="F250" s="38"/>
    </row>
    <row r="251">
      <c r="A251" s="38"/>
      <c r="B251" s="38"/>
      <c r="C251" s="38"/>
      <c r="D251" s="38"/>
      <c r="F251" s="38"/>
    </row>
    <row r="252">
      <c r="A252" s="38"/>
      <c r="B252" s="38"/>
      <c r="C252" s="38"/>
      <c r="D252" s="38"/>
      <c r="F252" s="38"/>
    </row>
    <row r="253">
      <c r="A253" s="38"/>
      <c r="B253" s="38"/>
      <c r="C253" s="38"/>
      <c r="D253" s="38"/>
      <c r="F253" s="38"/>
    </row>
    <row r="254">
      <c r="A254" s="38"/>
      <c r="B254" s="38"/>
      <c r="C254" s="38"/>
      <c r="D254" s="38"/>
      <c r="F254" s="38"/>
    </row>
    <row r="255">
      <c r="A255" s="38"/>
      <c r="B255" s="38"/>
      <c r="C255" s="38"/>
      <c r="D255" s="38"/>
      <c r="F255" s="38"/>
    </row>
    <row r="256">
      <c r="A256" s="38"/>
      <c r="B256" s="38"/>
      <c r="C256" s="38"/>
      <c r="D256" s="38"/>
      <c r="F256" s="38"/>
    </row>
    <row r="257">
      <c r="A257" s="38"/>
      <c r="B257" s="38"/>
      <c r="C257" s="38"/>
      <c r="D257" s="38"/>
      <c r="F257" s="38"/>
    </row>
    <row r="258">
      <c r="A258" s="38"/>
      <c r="B258" s="38"/>
      <c r="C258" s="38"/>
      <c r="D258" s="38"/>
      <c r="F258" s="38"/>
    </row>
    <row r="259">
      <c r="A259" s="38"/>
      <c r="B259" s="38"/>
      <c r="C259" s="38"/>
      <c r="D259" s="38"/>
      <c r="F259" s="38"/>
    </row>
    <row r="260">
      <c r="A260" s="38"/>
      <c r="B260" s="38"/>
      <c r="C260" s="38"/>
      <c r="D260" s="38"/>
      <c r="F260" s="38"/>
    </row>
    <row r="261">
      <c r="A261" s="38"/>
      <c r="B261" s="38"/>
      <c r="C261" s="38"/>
      <c r="D261" s="38"/>
      <c r="F261" s="38"/>
    </row>
    <row r="262">
      <c r="A262" s="38"/>
      <c r="B262" s="38"/>
      <c r="C262" s="38"/>
      <c r="D262" s="38"/>
      <c r="F262" s="38"/>
    </row>
    <row r="263">
      <c r="A263" s="38"/>
      <c r="B263" s="38"/>
      <c r="C263" s="38"/>
      <c r="D263" s="38"/>
      <c r="F263" s="38"/>
    </row>
    <row r="264">
      <c r="A264" s="38"/>
      <c r="B264" s="38"/>
      <c r="C264" s="38"/>
      <c r="D264" s="38"/>
      <c r="F264" s="38"/>
    </row>
    <row r="265">
      <c r="A265" s="38"/>
      <c r="B265" s="38"/>
      <c r="C265" s="38"/>
      <c r="D265" s="38"/>
      <c r="F265" s="38"/>
    </row>
    <row r="266">
      <c r="A266" s="38"/>
      <c r="B266" s="38"/>
      <c r="C266" s="38"/>
      <c r="D266" s="38"/>
      <c r="F266" s="38"/>
    </row>
    <row r="267">
      <c r="A267" s="38"/>
      <c r="B267" s="38"/>
      <c r="C267" s="38"/>
      <c r="D267" s="38"/>
      <c r="F267" s="38"/>
    </row>
    <row r="268">
      <c r="A268" s="38"/>
      <c r="B268" s="38"/>
      <c r="C268" s="38"/>
      <c r="D268" s="38"/>
      <c r="F268" s="38"/>
    </row>
    <row r="269">
      <c r="A269" s="38"/>
      <c r="B269" s="38"/>
      <c r="C269" s="38"/>
      <c r="D269" s="38"/>
      <c r="F269" s="38"/>
    </row>
    <row r="270">
      <c r="A270" s="38"/>
      <c r="B270" s="38"/>
      <c r="C270" s="38"/>
      <c r="D270" s="38"/>
      <c r="F270" s="38"/>
    </row>
    <row r="271">
      <c r="A271" s="38"/>
      <c r="B271" s="38"/>
      <c r="C271" s="38"/>
      <c r="D271" s="38"/>
      <c r="F271" s="38"/>
    </row>
    <row r="272">
      <c r="A272" s="38"/>
      <c r="B272" s="38"/>
      <c r="C272" s="38"/>
      <c r="D272" s="38"/>
      <c r="F272" s="38"/>
    </row>
    <row r="273">
      <c r="A273" s="38"/>
      <c r="B273" s="38"/>
      <c r="C273" s="38"/>
      <c r="D273" s="38"/>
      <c r="F273" s="38"/>
    </row>
    <row r="274">
      <c r="A274" s="38"/>
      <c r="B274" s="38"/>
      <c r="C274" s="38"/>
      <c r="D274" s="38"/>
      <c r="F274" s="38"/>
    </row>
    <row r="275">
      <c r="A275" s="38"/>
      <c r="B275" s="38"/>
      <c r="C275" s="38"/>
      <c r="D275" s="38"/>
      <c r="F275" s="38"/>
    </row>
    <row r="276">
      <c r="A276" s="38"/>
      <c r="B276" s="38"/>
      <c r="C276" s="38"/>
      <c r="D276" s="38"/>
      <c r="F276" s="38"/>
    </row>
    <row r="277">
      <c r="A277" s="38"/>
      <c r="B277" s="38"/>
      <c r="C277" s="38"/>
      <c r="D277" s="38"/>
      <c r="F277" s="38"/>
    </row>
    <row r="278">
      <c r="A278" s="38"/>
      <c r="B278" s="38"/>
      <c r="C278" s="38"/>
      <c r="D278" s="38"/>
      <c r="F278" s="38"/>
    </row>
    <row r="279">
      <c r="A279" s="38"/>
      <c r="B279" s="38"/>
      <c r="C279" s="38"/>
      <c r="D279" s="38"/>
      <c r="F279" s="38"/>
    </row>
    <row r="280">
      <c r="A280" s="38"/>
      <c r="B280" s="38"/>
      <c r="C280" s="38"/>
      <c r="D280" s="38"/>
      <c r="F280" s="38"/>
    </row>
    <row r="281">
      <c r="A281" s="38"/>
      <c r="B281" s="38"/>
      <c r="C281" s="38"/>
      <c r="D281" s="38"/>
      <c r="F281" s="38"/>
    </row>
    <row r="282">
      <c r="A282" s="38"/>
      <c r="B282" s="38"/>
      <c r="C282" s="38"/>
      <c r="D282" s="38"/>
      <c r="F282" s="38"/>
    </row>
    <row r="283">
      <c r="A283" s="38"/>
      <c r="B283" s="38"/>
      <c r="C283" s="38"/>
      <c r="D283" s="38"/>
      <c r="F283" s="38"/>
    </row>
    <row r="284">
      <c r="A284" s="38"/>
      <c r="B284" s="38"/>
      <c r="C284" s="38"/>
      <c r="D284" s="38"/>
      <c r="F284" s="38"/>
    </row>
    <row r="285">
      <c r="A285" s="38"/>
      <c r="B285" s="38"/>
      <c r="C285" s="38"/>
      <c r="D285" s="38"/>
      <c r="F285" s="38"/>
    </row>
    <row r="286">
      <c r="A286" s="38"/>
      <c r="B286" s="38"/>
      <c r="C286" s="38"/>
      <c r="D286" s="38"/>
      <c r="F286" s="38"/>
    </row>
    <row r="287">
      <c r="A287" s="38"/>
      <c r="B287" s="38"/>
      <c r="C287" s="38"/>
      <c r="D287" s="38"/>
      <c r="F287" s="38"/>
    </row>
    <row r="288">
      <c r="A288" s="38"/>
      <c r="B288" s="38"/>
      <c r="C288" s="38"/>
      <c r="D288" s="38"/>
      <c r="F288" s="38"/>
    </row>
    <row r="289">
      <c r="A289" s="38"/>
      <c r="B289" s="38"/>
      <c r="C289" s="38"/>
      <c r="D289" s="38"/>
      <c r="F289" s="38"/>
    </row>
    <row r="290">
      <c r="A290" s="38"/>
      <c r="B290" s="38"/>
      <c r="C290" s="38"/>
      <c r="D290" s="38"/>
      <c r="F290" s="38"/>
    </row>
    <row r="291">
      <c r="A291" s="38"/>
      <c r="B291" s="38"/>
      <c r="C291" s="38"/>
      <c r="D291" s="38"/>
      <c r="F291" s="38"/>
    </row>
    <row r="292">
      <c r="A292" s="38"/>
      <c r="B292" s="38"/>
      <c r="C292" s="38"/>
      <c r="D292" s="38"/>
      <c r="F292" s="38"/>
    </row>
    <row r="293">
      <c r="A293" s="38"/>
      <c r="B293" s="38"/>
      <c r="C293" s="38"/>
      <c r="D293" s="38"/>
      <c r="F293" s="38"/>
    </row>
    <row r="294">
      <c r="A294" s="38"/>
      <c r="B294" s="38"/>
      <c r="C294" s="38"/>
      <c r="D294" s="38"/>
      <c r="F294" s="38"/>
    </row>
    <row r="295">
      <c r="A295" s="38"/>
      <c r="B295" s="38"/>
      <c r="C295" s="38"/>
      <c r="D295" s="38"/>
      <c r="F295" s="38"/>
    </row>
    <row r="296">
      <c r="A296" s="38"/>
      <c r="B296" s="38"/>
      <c r="C296" s="38"/>
      <c r="D296" s="38"/>
      <c r="F296" s="38"/>
    </row>
    <row r="297">
      <c r="A297" s="38"/>
      <c r="B297" s="38"/>
      <c r="C297" s="38"/>
      <c r="D297" s="38"/>
      <c r="F297" s="38"/>
    </row>
    <row r="298">
      <c r="A298" s="38"/>
      <c r="B298" s="38"/>
      <c r="C298" s="38"/>
      <c r="D298" s="38"/>
      <c r="F298" s="38"/>
    </row>
    <row r="299">
      <c r="A299" s="38"/>
      <c r="B299" s="38"/>
      <c r="C299" s="38"/>
      <c r="D299" s="38"/>
      <c r="F299" s="38"/>
    </row>
    <row r="300">
      <c r="A300" s="38"/>
      <c r="B300" s="38"/>
      <c r="C300" s="38"/>
      <c r="D300" s="38"/>
      <c r="F300" s="38"/>
    </row>
    <row r="301">
      <c r="A301" s="38"/>
      <c r="B301" s="38"/>
      <c r="C301" s="38"/>
      <c r="D301" s="38"/>
      <c r="F301" s="38"/>
    </row>
    <row r="302">
      <c r="A302" s="38"/>
      <c r="B302" s="38"/>
      <c r="C302" s="38"/>
      <c r="D302" s="38"/>
      <c r="F302" s="38"/>
    </row>
    <row r="303">
      <c r="A303" s="38"/>
      <c r="B303" s="38"/>
      <c r="C303" s="38"/>
      <c r="D303" s="38"/>
      <c r="F303" s="38"/>
    </row>
    <row r="304">
      <c r="A304" s="38"/>
      <c r="B304" s="38"/>
      <c r="C304" s="38"/>
      <c r="D304" s="38"/>
      <c r="F304" s="38"/>
    </row>
    <row r="305">
      <c r="A305" s="38"/>
      <c r="B305" s="38"/>
      <c r="C305" s="38"/>
      <c r="D305" s="38"/>
      <c r="F305" s="38"/>
    </row>
    <row r="306">
      <c r="A306" s="38"/>
      <c r="B306" s="38"/>
      <c r="C306" s="38"/>
      <c r="D306" s="38"/>
      <c r="F306" s="38"/>
    </row>
    <row r="307">
      <c r="A307" s="38"/>
      <c r="B307" s="38"/>
      <c r="C307" s="38"/>
      <c r="D307" s="38"/>
      <c r="F307" s="38"/>
    </row>
    <row r="308">
      <c r="A308" s="38"/>
      <c r="B308" s="38"/>
      <c r="C308" s="38"/>
      <c r="D308" s="38"/>
      <c r="F308" s="38"/>
    </row>
    <row r="309">
      <c r="A309" s="38"/>
      <c r="B309" s="38"/>
      <c r="C309" s="38"/>
      <c r="D309" s="38"/>
      <c r="F309" s="38"/>
    </row>
    <row r="310">
      <c r="A310" s="38"/>
      <c r="B310" s="38"/>
      <c r="C310" s="38"/>
      <c r="D310" s="38"/>
      <c r="F310" s="38"/>
    </row>
    <row r="311">
      <c r="A311" s="38"/>
      <c r="B311" s="38"/>
      <c r="C311" s="38"/>
      <c r="D311" s="38"/>
      <c r="F311" s="38"/>
    </row>
    <row r="312">
      <c r="A312" s="38"/>
      <c r="B312" s="38"/>
      <c r="C312" s="38"/>
      <c r="D312" s="38"/>
      <c r="F312" s="38"/>
    </row>
    <row r="313">
      <c r="A313" s="38"/>
      <c r="B313" s="38"/>
      <c r="C313" s="38"/>
      <c r="D313" s="38"/>
      <c r="F313" s="38"/>
    </row>
    <row r="314">
      <c r="A314" s="38"/>
      <c r="B314" s="38"/>
      <c r="C314" s="38"/>
      <c r="D314" s="38"/>
      <c r="F314" s="38"/>
    </row>
    <row r="315">
      <c r="A315" s="38"/>
      <c r="B315" s="38"/>
      <c r="C315" s="38"/>
      <c r="D315" s="38"/>
      <c r="F315" s="38"/>
    </row>
    <row r="316">
      <c r="A316" s="38"/>
      <c r="B316" s="38"/>
      <c r="C316" s="38"/>
      <c r="D316" s="38"/>
      <c r="F316" s="38"/>
    </row>
    <row r="317">
      <c r="A317" s="38"/>
      <c r="B317" s="38"/>
      <c r="C317" s="38"/>
      <c r="D317" s="38"/>
      <c r="F317" s="38"/>
    </row>
    <row r="318">
      <c r="A318" s="38"/>
      <c r="B318" s="38"/>
      <c r="C318" s="38"/>
      <c r="D318" s="38"/>
      <c r="F318" s="38"/>
    </row>
    <row r="319">
      <c r="A319" s="38"/>
      <c r="B319" s="38"/>
      <c r="C319" s="38"/>
      <c r="D319" s="38"/>
      <c r="F319" s="38"/>
    </row>
    <row r="320">
      <c r="A320" s="38"/>
      <c r="B320" s="38"/>
      <c r="C320" s="38"/>
      <c r="D320" s="38"/>
      <c r="F320" s="38"/>
    </row>
    <row r="321">
      <c r="A321" s="38"/>
      <c r="B321" s="38"/>
      <c r="C321" s="38"/>
      <c r="D321" s="38"/>
      <c r="F321" s="38"/>
    </row>
    <row r="322">
      <c r="A322" s="38"/>
      <c r="B322" s="38"/>
      <c r="C322" s="38"/>
      <c r="D322" s="38"/>
      <c r="F322" s="38"/>
    </row>
    <row r="323">
      <c r="A323" s="38"/>
      <c r="B323" s="38"/>
      <c r="C323" s="38"/>
      <c r="D323" s="38"/>
      <c r="F323" s="38"/>
    </row>
    <row r="324">
      <c r="A324" s="38"/>
      <c r="B324" s="38"/>
      <c r="C324" s="38"/>
      <c r="D324" s="38"/>
      <c r="F324" s="38"/>
    </row>
    <row r="325">
      <c r="A325" s="38"/>
      <c r="B325" s="38"/>
      <c r="C325" s="38"/>
      <c r="D325" s="38"/>
      <c r="F325" s="38"/>
    </row>
    <row r="326">
      <c r="A326" s="38"/>
      <c r="B326" s="38"/>
      <c r="C326" s="38"/>
      <c r="D326" s="38"/>
      <c r="F326" s="38"/>
    </row>
    <row r="327">
      <c r="A327" s="38"/>
      <c r="B327" s="38"/>
      <c r="C327" s="38"/>
      <c r="D327" s="38"/>
      <c r="F327" s="38"/>
    </row>
    <row r="328">
      <c r="A328" s="38"/>
      <c r="B328" s="38"/>
      <c r="C328" s="38"/>
      <c r="D328" s="38"/>
      <c r="F328" s="38"/>
    </row>
    <row r="329">
      <c r="A329" s="38"/>
      <c r="B329" s="38"/>
      <c r="C329" s="38"/>
      <c r="D329" s="38"/>
      <c r="F329" s="38"/>
    </row>
    <row r="330">
      <c r="A330" s="38"/>
      <c r="B330" s="38"/>
      <c r="C330" s="38"/>
      <c r="D330" s="38"/>
      <c r="F330" s="38"/>
    </row>
    <row r="331">
      <c r="A331" s="38"/>
      <c r="B331" s="38"/>
      <c r="C331" s="38"/>
      <c r="D331" s="38"/>
      <c r="F331" s="38"/>
    </row>
    <row r="332">
      <c r="A332" s="38"/>
      <c r="B332" s="38"/>
      <c r="C332" s="38"/>
      <c r="D332" s="38"/>
      <c r="F332" s="38"/>
    </row>
    <row r="333">
      <c r="A333" s="38"/>
      <c r="B333" s="38"/>
      <c r="C333" s="38"/>
      <c r="D333" s="38"/>
      <c r="F333" s="38"/>
    </row>
    <row r="334">
      <c r="A334" s="38"/>
      <c r="B334" s="38"/>
      <c r="C334" s="38"/>
      <c r="D334" s="38"/>
      <c r="F334" s="38"/>
    </row>
    <row r="335">
      <c r="A335" s="38"/>
      <c r="B335" s="38"/>
      <c r="C335" s="38"/>
      <c r="D335" s="38"/>
      <c r="F335" s="38"/>
    </row>
    <row r="336">
      <c r="A336" s="38"/>
      <c r="B336" s="38"/>
      <c r="C336" s="38"/>
      <c r="D336" s="38"/>
      <c r="F336" s="38"/>
    </row>
    <row r="337">
      <c r="A337" s="38"/>
      <c r="B337" s="38"/>
      <c r="C337" s="38"/>
      <c r="D337" s="38"/>
      <c r="F337" s="38"/>
    </row>
    <row r="338">
      <c r="A338" s="38"/>
      <c r="B338" s="38"/>
      <c r="C338" s="38"/>
      <c r="D338" s="38"/>
      <c r="F338" s="38"/>
    </row>
    <row r="339">
      <c r="A339" s="38"/>
      <c r="B339" s="38"/>
      <c r="C339" s="38"/>
      <c r="D339" s="38"/>
      <c r="F339" s="38"/>
    </row>
    <row r="340">
      <c r="A340" s="38"/>
      <c r="B340" s="38"/>
      <c r="C340" s="38"/>
      <c r="D340" s="38"/>
      <c r="F340" s="38"/>
    </row>
    <row r="341">
      <c r="A341" s="38"/>
      <c r="B341" s="38"/>
      <c r="C341" s="38"/>
      <c r="D341" s="38"/>
      <c r="F341" s="38"/>
    </row>
    <row r="342">
      <c r="A342" s="38"/>
      <c r="B342" s="38"/>
      <c r="C342" s="38"/>
      <c r="D342" s="38"/>
      <c r="F342" s="38"/>
    </row>
    <row r="343">
      <c r="A343" s="38"/>
      <c r="B343" s="38"/>
      <c r="C343" s="38"/>
      <c r="D343" s="38"/>
      <c r="F343" s="38"/>
    </row>
    <row r="344">
      <c r="A344" s="38"/>
      <c r="B344" s="38"/>
      <c r="C344" s="38"/>
      <c r="D344" s="38"/>
      <c r="F344" s="38"/>
    </row>
    <row r="345">
      <c r="A345" s="38"/>
      <c r="B345" s="38"/>
      <c r="C345" s="38"/>
      <c r="D345" s="38"/>
      <c r="F345" s="38"/>
    </row>
    <row r="346">
      <c r="A346" s="38"/>
      <c r="B346" s="38"/>
      <c r="C346" s="38"/>
      <c r="D346" s="38"/>
      <c r="F346" s="38"/>
    </row>
    <row r="347">
      <c r="A347" s="38"/>
      <c r="B347" s="38"/>
      <c r="C347" s="38"/>
      <c r="D347" s="38"/>
      <c r="F347" s="38"/>
    </row>
    <row r="348">
      <c r="A348" s="38"/>
      <c r="B348" s="38"/>
      <c r="C348" s="38"/>
      <c r="D348" s="38"/>
      <c r="F348" s="38"/>
    </row>
    <row r="349">
      <c r="A349" s="38"/>
      <c r="B349" s="38"/>
      <c r="C349" s="38"/>
      <c r="D349" s="38"/>
      <c r="F349" s="38"/>
    </row>
    <row r="350">
      <c r="A350" s="38"/>
      <c r="B350" s="38"/>
      <c r="C350" s="38"/>
      <c r="D350" s="38"/>
      <c r="F350" s="38"/>
    </row>
    <row r="351">
      <c r="A351" s="38"/>
      <c r="B351" s="38"/>
      <c r="C351" s="38"/>
      <c r="D351" s="38"/>
      <c r="F351" s="38"/>
    </row>
    <row r="352">
      <c r="A352" s="38"/>
      <c r="B352" s="38"/>
      <c r="C352" s="38"/>
      <c r="D352" s="38"/>
      <c r="F352" s="38"/>
    </row>
    <row r="353">
      <c r="A353" s="38"/>
      <c r="B353" s="38"/>
      <c r="C353" s="38"/>
      <c r="D353" s="38"/>
      <c r="F353" s="38"/>
    </row>
    <row r="354">
      <c r="A354" s="38"/>
      <c r="B354" s="38"/>
      <c r="C354" s="38"/>
      <c r="D354" s="38"/>
      <c r="F354" s="38"/>
    </row>
    <row r="355">
      <c r="A355" s="38"/>
      <c r="B355" s="38"/>
      <c r="C355" s="38"/>
      <c r="D355" s="38"/>
      <c r="F355" s="38"/>
    </row>
    <row r="356">
      <c r="A356" s="38"/>
      <c r="B356" s="38"/>
      <c r="C356" s="38"/>
      <c r="D356" s="38"/>
      <c r="F356" s="38"/>
    </row>
    <row r="357">
      <c r="A357" s="38"/>
      <c r="B357" s="38"/>
      <c r="C357" s="38"/>
      <c r="D357" s="38"/>
      <c r="F357" s="38"/>
    </row>
    <row r="358">
      <c r="A358" s="38"/>
      <c r="B358" s="38"/>
      <c r="C358" s="38"/>
      <c r="D358" s="38"/>
      <c r="F358" s="38"/>
    </row>
    <row r="359">
      <c r="A359" s="38"/>
      <c r="B359" s="38"/>
      <c r="C359" s="38"/>
      <c r="D359" s="38"/>
      <c r="F359" s="38"/>
    </row>
    <row r="360">
      <c r="A360" s="38"/>
      <c r="B360" s="38"/>
      <c r="C360" s="38"/>
      <c r="D360" s="38"/>
      <c r="F360" s="38"/>
    </row>
    <row r="361">
      <c r="A361" s="38"/>
      <c r="B361" s="38"/>
      <c r="C361" s="38"/>
      <c r="D361" s="38"/>
      <c r="F361" s="38"/>
    </row>
    <row r="362">
      <c r="A362" s="38"/>
      <c r="B362" s="38"/>
      <c r="C362" s="38"/>
      <c r="D362" s="38"/>
      <c r="F362" s="38"/>
    </row>
    <row r="363">
      <c r="A363" s="38"/>
      <c r="B363" s="38"/>
      <c r="C363" s="38"/>
      <c r="D363" s="38"/>
      <c r="F363" s="38"/>
    </row>
    <row r="364">
      <c r="A364" s="38"/>
      <c r="B364" s="38"/>
      <c r="C364" s="38"/>
      <c r="D364" s="38"/>
      <c r="F364" s="38"/>
    </row>
    <row r="365">
      <c r="A365" s="38"/>
      <c r="B365" s="38"/>
      <c r="C365" s="38"/>
      <c r="D365" s="38"/>
      <c r="F365" s="38"/>
    </row>
    <row r="366">
      <c r="A366" s="38"/>
      <c r="B366" s="38"/>
      <c r="C366" s="38"/>
      <c r="D366" s="38"/>
      <c r="F366" s="38"/>
    </row>
    <row r="367">
      <c r="A367" s="38"/>
      <c r="B367" s="38"/>
      <c r="C367" s="38"/>
      <c r="D367" s="38"/>
      <c r="F367" s="38"/>
    </row>
    <row r="368">
      <c r="A368" s="38"/>
      <c r="B368" s="38"/>
      <c r="C368" s="38"/>
      <c r="D368" s="38"/>
      <c r="F368" s="38"/>
    </row>
    <row r="369">
      <c r="A369" s="38"/>
      <c r="B369" s="38"/>
      <c r="C369" s="38"/>
      <c r="D369" s="38"/>
      <c r="F369" s="38"/>
    </row>
    <row r="370">
      <c r="A370" s="38"/>
      <c r="B370" s="38"/>
      <c r="C370" s="38"/>
      <c r="D370" s="38"/>
      <c r="F370" s="38"/>
    </row>
    <row r="371">
      <c r="A371" s="38"/>
      <c r="B371" s="38"/>
      <c r="C371" s="38"/>
      <c r="D371" s="38"/>
      <c r="F371" s="38"/>
    </row>
    <row r="372">
      <c r="A372" s="38"/>
      <c r="B372" s="38"/>
      <c r="C372" s="38"/>
      <c r="D372" s="38"/>
      <c r="F372" s="38"/>
    </row>
    <row r="373">
      <c r="A373" s="38"/>
      <c r="B373" s="38"/>
      <c r="C373" s="38"/>
      <c r="D373" s="38"/>
      <c r="F373" s="38"/>
    </row>
    <row r="374">
      <c r="A374" s="38"/>
      <c r="B374" s="38"/>
      <c r="C374" s="38"/>
      <c r="D374" s="38"/>
      <c r="F374" s="38"/>
    </row>
    <row r="375">
      <c r="A375" s="38"/>
      <c r="B375" s="38"/>
      <c r="C375" s="38"/>
      <c r="D375" s="38"/>
      <c r="F375" s="38"/>
    </row>
    <row r="376">
      <c r="A376" s="38"/>
      <c r="B376" s="38"/>
      <c r="C376" s="38"/>
      <c r="D376" s="38"/>
      <c r="F376" s="38"/>
    </row>
    <row r="377">
      <c r="A377" s="38"/>
      <c r="B377" s="38"/>
      <c r="C377" s="38"/>
      <c r="D377" s="38"/>
      <c r="F377" s="38"/>
    </row>
    <row r="378">
      <c r="A378" s="38"/>
      <c r="B378" s="38"/>
      <c r="C378" s="38"/>
      <c r="D378" s="38"/>
      <c r="F378" s="38"/>
    </row>
    <row r="379">
      <c r="A379" s="38"/>
      <c r="B379" s="38"/>
      <c r="C379" s="38"/>
      <c r="D379" s="38"/>
      <c r="F379" s="38"/>
    </row>
    <row r="380">
      <c r="A380" s="38"/>
      <c r="B380" s="38"/>
      <c r="C380" s="38"/>
      <c r="D380" s="38"/>
      <c r="F380" s="38"/>
    </row>
    <row r="381">
      <c r="A381" s="38"/>
      <c r="B381" s="38"/>
      <c r="C381" s="38"/>
      <c r="D381" s="38"/>
      <c r="F381" s="38"/>
    </row>
    <row r="382">
      <c r="A382" s="38"/>
      <c r="B382" s="38"/>
      <c r="C382" s="38"/>
      <c r="D382" s="38"/>
      <c r="F382" s="38"/>
    </row>
    <row r="383">
      <c r="A383" s="38"/>
      <c r="B383" s="38"/>
      <c r="C383" s="38"/>
      <c r="D383" s="38"/>
      <c r="F383" s="38"/>
    </row>
    <row r="384">
      <c r="A384" s="38"/>
      <c r="B384" s="38"/>
      <c r="C384" s="38"/>
      <c r="D384" s="38"/>
      <c r="F384" s="38"/>
    </row>
    <row r="385">
      <c r="A385" s="38"/>
      <c r="B385" s="38"/>
      <c r="C385" s="38"/>
      <c r="D385" s="38"/>
      <c r="F385" s="38"/>
    </row>
    <row r="386">
      <c r="A386" s="38"/>
      <c r="B386" s="38"/>
      <c r="C386" s="38"/>
      <c r="D386" s="38"/>
      <c r="F386" s="38"/>
    </row>
    <row r="387">
      <c r="A387" s="38"/>
      <c r="B387" s="38"/>
      <c r="C387" s="38"/>
      <c r="D387" s="38"/>
      <c r="F387" s="38"/>
    </row>
    <row r="388">
      <c r="A388" s="38"/>
      <c r="B388" s="38"/>
      <c r="C388" s="38"/>
      <c r="D388" s="38"/>
      <c r="F388" s="38"/>
    </row>
    <row r="389">
      <c r="A389" s="38"/>
      <c r="B389" s="38"/>
      <c r="C389" s="38"/>
      <c r="D389" s="38"/>
      <c r="F389" s="38"/>
    </row>
    <row r="390">
      <c r="A390" s="38"/>
      <c r="B390" s="38"/>
      <c r="C390" s="38"/>
      <c r="D390" s="38"/>
      <c r="F390" s="38"/>
    </row>
    <row r="391">
      <c r="A391" s="38"/>
      <c r="B391" s="38"/>
      <c r="C391" s="38"/>
      <c r="D391" s="38"/>
      <c r="F391" s="38"/>
    </row>
    <row r="392">
      <c r="A392" s="38"/>
      <c r="B392" s="38"/>
      <c r="C392" s="38"/>
      <c r="D392" s="38"/>
      <c r="F392" s="38"/>
    </row>
    <row r="393">
      <c r="A393" s="38"/>
      <c r="B393" s="38"/>
      <c r="C393" s="38"/>
      <c r="D393" s="38"/>
      <c r="F393" s="38"/>
    </row>
    <row r="394">
      <c r="A394" s="38"/>
      <c r="B394" s="38"/>
      <c r="C394" s="38"/>
      <c r="D394" s="38"/>
      <c r="F394" s="38"/>
    </row>
    <row r="395">
      <c r="A395" s="38"/>
      <c r="B395" s="38"/>
      <c r="C395" s="38"/>
      <c r="D395" s="38"/>
      <c r="F395" s="38"/>
    </row>
    <row r="396">
      <c r="A396" s="38"/>
      <c r="B396" s="38"/>
      <c r="C396" s="38"/>
      <c r="D396" s="38"/>
      <c r="F396" s="38"/>
    </row>
    <row r="397">
      <c r="A397" s="38"/>
      <c r="B397" s="38"/>
      <c r="C397" s="38"/>
      <c r="D397" s="38"/>
      <c r="F397" s="38"/>
    </row>
    <row r="398">
      <c r="A398" s="38"/>
      <c r="B398" s="38"/>
      <c r="C398" s="38"/>
      <c r="D398" s="38"/>
      <c r="F398" s="38"/>
    </row>
    <row r="399">
      <c r="A399" s="38"/>
      <c r="B399" s="38"/>
      <c r="C399" s="38"/>
      <c r="D399" s="38"/>
      <c r="F399" s="38"/>
    </row>
    <row r="400">
      <c r="A400" s="38"/>
      <c r="B400" s="38"/>
      <c r="C400" s="38"/>
      <c r="D400" s="38"/>
      <c r="F400" s="38"/>
    </row>
    <row r="401">
      <c r="A401" s="38"/>
      <c r="B401" s="38"/>
      <c r="C401" s="38"/>
      <c r="D401" s="38"/>
      <c r="F401" s="38"/>
    </row>
    <row r="402">
      <c r="A402" s="38"/>
      <c r="B402" s="38"/>
      <c r="C402" s="38"/>
      <c r="D402" s="38"/>
      <c r="F402" s="38"/>
    </row>
    <row r="403">
      <c r="A403" s="38"/>
      <c r="B403" s="38"/>
      <c r="C403" s="38"/>
      <c r="D403" s="38"/>
      <c r="F403" s="38"/>
    </row>
    <row r="404">
      <c r="A404" s="38"/>
      <c r="B404" s="38"/>
      <c r="C404" s="38"/>
      <c r="D404" s="38"/>
      <c r="F404" s="38"/>
    </row>
    <row r="405">
      <c r="A405" s="38"/>
      <c r="B405" s="38"/>
      <c r="C405" s="38"/>
      <c r="D405" s="38"/>
      <c r="F405" s="38"/>
    </row>
    <row r="406">
      <c r="A406" s="38"/>
      <c r="B406" s="38"/>
      <c r="C406" s="38"/>
      <c r="D406" s="38"/>
      <c r="F406" s="38"/>
    </row>
    <row r="407">
      <c r="A407" s="38"/>
      <c r="B407" s="38"/>
      <c r="C407" s="38"/>
      <c r="D407" s="38"/>
      <c r="F407" s="38"/>
    </row>
    <row r="408">
      <c r="A408" s="38"/>
      <c r="B408" s="38"/>
      <c r="C408" s="38"/>
      <c r="D408" s="38"/>
      <c r="F408" s="38"/>
    </row>
    <row r="409">
      <c r="A409" s="38"/>
      <c r="B409" s="38"/>
      <c r="C409" s="38"/>
      <c r="D409" s="38"/>
      <c r="F409" s="38"/>
    </row>
    <row r="410">
      <c r="A410" s="38"/>
      <c r="B410" s="38"/>
      <c r="C410" s="38"/>
      <c r="D410" s="38"/>
      <c r="F410" s="38"/>
    </row>
    <row r="411">
      <c r="A411" s="38"/>
      <c r="B411" s="38"/>
      <c r="C411" s="38"/>
      <c r="D411" s="38"/>
      <c r="F411" s="38"/>
    </row>
    <row r="412">
      <c r="A412" s="38"/>
      <c r="B412" s="38"/>
      <c r="C412" s="38"/>
      <c r="D412" s="38"/>
      <c r="F412" s="38"/>
    </row>
    <row r="413">
      <c r="A413" s="38"/>
      <c r="B413" s="38"/>
      <c r="C413" s="38"/>
      <c r="D413" s="38"/>
      <c r="F413" s="38"/>
    </row>
    <row r="414">
      <c r="A414" s="38"/>
      <c r="B414" s="38"/>
      <c r="C414" s="38"/>
      <c r="D414" s="38"/>
      <c r="F414" s="38"/>
    </row>
    <row r="415">
      <c r="A415" s="38"/>
      <c r="B415" s="38"/>
      <c r="C415" s="38"/>
      <c r="D415" s="38"/>
      <c r="F415" s="38"/>
    </row>
    <row r="416">
      <c r="A416" s="38"/>
      <c r="B416" s="38"/>
      <c r="C416" s="38"/>
      <c r="D416" s="38"/>
      <c r="F416" s="38"/>
    </row>
    <row r="417">
      <c r="A417" s="38"/>
      <c r="B417" s="38"/>
      <c r="C417" s="38"/>
      <c r="D417" s="38"/>
      <c r="F417" s="38"/>
    </row>
    <row r="418">
      <c r="A418" s="38"/>
      <c r="B418" s="38"/>
      <c r="C418" s="38"/>
      <c r="D418" s="38"/>
      <c r="F418" s="38"/>
    </row>
    <row r="419">
      <c r="A419" s="38"/>
      <c r="B419" s="38"/>
      <c r="C419" s="38"/>
      <c r="D419" s="38"/>
      <c r="F419" s="38"/>
    </row>
    <row r="420">
      <c r="A420" s="38"/>
      <c r="B420" s="38"/>
      <c r="C420" s="38"/>
      <c r="D420" s="38"/>
      <c r="F420" s="38"/>
    </row>
    <row r="421">
      <c r="A421" s="38"/>
      <c r="B421" s="38"/>
      <c r="C421" s="38"/>
      <c r="D421" s="38"/>
      <c r="F421" s="38"/>
    </row>
    <row r="422">
      <c r="A422" s="38"/>
      <c r="B422" s="38"/>
      <c r="C422" s="38"/>
      <c r="D422" s="38"/>
      <c r="F422" s="38"/>
    </row>
    <row r="423">
      <c r="A423" s="38"/>
      <c r="B423" s="38"/>
      <c r="C423" s="38"/>
      <c r="D423" s="38"/>
      <c r="F423" s="38"/>
    </row>
    <row r="424">
      <c r="A424" s="38"/>
      <c r="B424" s="38"/>
      <c r="C424" s="38"/>
      <c r="D424" s="38"/>
      <c r="F424" s="38"/>
    </row>
    <row r="425">
      <c r="A425" s="38"/>
      <c r="B425" s="38"/>
      <c r="C425" s="38"/>
      <c r="D425" s="38"/>
      <c r="F425" s="38"/>
    </row>
    <row r="426">
      <c r="A426" s="38"/>
      <c r="B426" s="38"/>
      <c r="C426" s="38"/>
      <c r="D426" s="38"/>
      <c r="F426" s="38"/>
    </row>
    <row r="427">
      <c r="A427" s="38"/>
      <c r="B427" s="38"/>
      <c r="C427" s="38"/>
      <c r="D427" s="38"/>
      <c r="F427" s="38"/>
    </row>
    <row r="428">
      <c r="A428" s="38"/>
      <c r="B428" s="38"/>
      <c r="C428" s="38"/>
      <c r="D428" s="38"/>
      <c r="F428" s="38"/>
    </row>
    <row r="429">
      <c r="A429" s="38"/>
      <c r="B429" s="38"/>
      <c r="C429" s="38"/>
      <c r="D429" s="38"/>
      <c r="F429" s="38"/>
    </row>
    <row r="430">
      <c r="A430" s="38"/>
      <c r="B430" s="38"/>
      <c r="C430" s="38"/>
      <c r="D430" s="38"/>
      <c r="F430" s="38"/>
    </row>
    <row r="431">
      <c r="A431" s="38"/>
      <c r="B431" s="38"/>
      <c r="C431" s="38"/>
      <c r="D431" s="38"/>
      <c r="F431" s="38"/>
    </row>
    <row r="432">
      <c r="A432" s="38"/>
      <c r="B432" s="38"/>
      <c r="C432" s="38"/>
      <c r="D432" s="38"/>
      <c r="F432" s="38"/>
    </row>
    <row r="433">
      <c r="A433" s="38"/>
      <c r="B433" s="38"/>
      <c r="C433" s="38"/>
      <c r="D433" s="38"/>
      <c r="F433" s="38"/>
    </row>
    <row r="434">
      <c r="A434" s="38"/>
      <c r="B434" s="38"/>
      <c r="C434" s="38"/>
      <c r="D434" s="38"/>
      <c r="F434" s="38"/>
    </row>
    <row r="435">
      <c r="A435" s="38"/>
      <c r="B435" s="38"/>
      <c r="C435" s="38"/>
      <c r="D435" s="38"/>
      <c r="F435" s="38"/>
    </row>
    <row r="436">
      <c r="A436" s="38"/>
      <c r="B436" s="38"/>
      <c r="C436" s="38"/>
      <c r="D436" s="38"/>
      <c r="F436" s="38"/>
    </row>
    <row r="437">
      <c r="A437" s="38"/>
      <c r="B437" s="38"/>
      <c r="C437" s="38"/>
      <c r="D437" s="38"/>
      <c r="F437" s="38"/>
    </row>
    <row r="438">
      <c r="A438" s="38"/>
      <c r="B438" s="38"/>
      <c r="C438" s="38"/>
      <c r="D438" s="38"/>
      <c r="F438" s="38"/>
    </row>
    <row r="439">
      <c r="A439" s="38"/>
      <c r="B439" s="38"/>
      <c r="C439" s="38"/>
      <c r="D439" s="38"/>
      <c r="F439" s="38"/>
    </row>
    <row r="440">
      <c r="A440" s="38"/>
      <c r="B440" s="38"/>
      <c r="C440" s="38"/>
      <c r="D440" s="38"/>
      <c r="F440" s="38"/>
    </row>
    <row r="441">
      <c r="A441" s="38"/>
      <c r="B441" s="38"/>
      <c r="C441" s="38"/>
      <c r="D441" s="38"/>
      <c r="F441" s="38"/>
    </row>
    <row r="442">
      <c r="A442" s="38"/>
      <c r="B442" s="38"/>
      <c r="C442" s="38"/>
      <c r="D442" s="38"/>
      <c r="F442" s="38"/>
    </row>
    <row r="443">
      <c r="A443" s="38"/>
      <c r="B443" s="38"/>
      <c r="C443" s="38"/>
      <c r="D443" s="38"/>
      <c r="F443" s="38"/>
    </row>
    <row r="444">
      <c r="A444" s="38"/>
      <c r="B444" s="38"/>
      <c r="C444" s="38"/>
      <c r="D444" s="38"/>
      <c r="F444" s="38"/>
    </row>
    <row r="445">
      <c r="A445" s="38"/>
      <c r="B445" s="38"/>
      <c r="C445" s="38"/>
      <c r="D445" s="38"/>
      <c r="F445" s="38"/>
    </row>
    <row r="446">
      <c r="A446" s="38"/>
      <c r="B446" s="38"/>
      <c r="C446" s="38"/>
      <c r="D446" s="38"/>
      <c r="F446" s="38"/>
    </row>
    <row r="447">
      <c r="A447" s="38"/>
      <c r="B447" s="38"/>
      <c r="C447" s="38"/>
      <c r="D447" s="38"/>
      <c r="F447" s="38"/>
    </row>
    <row r="448">
      <c r="A448" s="38"/>
      <c r="B448" s="38"/>
      <c r="C448" s="38"/>
      <c r="D448" s="38"/>
      <c r="F448" s="38"/>
    </row>
    <row r="449">
      <c r="A449" s="38"/>
      <c r="B449" s="38"/>
      <c r="C449" s="38"/>
      <c r="D449" s="38"/>
      <c r="F449" s="38"/>
    </row>
    <row r="450">
      <c r="A450" s="38"/>
      <c r="B450" s="38"/>
      <c r="C450" s="38"/>
      <c r="D450" s="38"/>
      <c r="F450" s="38"/>
    </row>
    <row r="451">
      <c r="A451" s="38"/>
      <c r="B451" s="38"/>
      <c r="C451" s="38"/>
      <c r="D451" s="38"/>
      <c r="F451" s="38"/>
    </row>
    <row r="452">
      <c r="A452" s="38"/>
      <c r="B452" s="38"/>
      <c r="C452" s="38"/>
      <c r="D452" s="38"/>
      <c r="F452" s="38"/>
    </row>
    <row r="453">
      <c r="A453" s="38"/>
      <c r="B453" s="38"/>
      <c r="C453" s="38"/>
      <c r="D453" s="38"/>
      <c r="F453" s="38"/>
    </row>
    <row r="454">
      <c r="A454" s="38"/>
      <c r="B454" s="38"/>
      <c r="C454" s="38"/>
      <c r="D454" s="38"/>
      <c r="F454" s="38"/>
    </row>
    <row r="455">
      <c r="A455" s="38"/>
      <c r="B455" s="38"/>
      <c r="C455" s="38"/>
      <c r="D455" s="38"/>
      <c r="F455" s="38"/>
    </row>
    <row r="456">
      <c r="A456" s="38"/>
      <c r="B456" s="38"/>
      <c r="C456" s="38"/>
      <c r="D456" s="38"/>
      <c r="F456" s="38"/>
    </row>
    <row r="457">
      <c r="A457" s="38"/>
      <c r="B457" s="38"/>
      <c r="C457" s="38"/>
      <c r="D457" s="38"/>
      <c r="F457" s="38"/>
    </row>
    <row r="458">
      <c r="A458" s="38"/>
      <c r="B458" s="38"/>
      <c r="C458" s="38"/>
      <c r="D458" s="38"/>
      <c r="F458" s="38"/>
    </row>
    <row r="459">
      <c r="A459" s="38"/>
      <c r="B459" s="38"/>
      <c r="C459" s="38"/>
      <c r="D459" s="38"/>
      <c r="F459" s="38"/>
    </row>
    <row r="460">
      <c r="A460" s="38"/>
      <c r="B460" s="38"/>
      <c r="C460" s="38"/>
      <c r="D460" s="38"/>
      <c r="F460" s="38"/>
    </row>
    <row r="461">
      <c r="A461" s="38"/>
      <c r="B461" s="38"/>
      <c r="C461" s="38"/>
      <c r="D461" s="38"/>
      <c r="F461" s="38"/>
    </row>
    <row r="462">
      <c r="A462" s="38"/>
      <c r="B462" s="38"/>
      <c r="C462" s="38"/>
      <c r="D462" s="38"/>
      <c r="F462" s="38"/>
    </row>
    <row r="463">
      <c r="A463" s="38"/>
      <c r="B463" s="38"/>
      <c r="C463" s="38"/>
      <c r="D463" s="38"/>
      <c r="F463" s="38"/>
    </row>
    <row r="464">
      <c r="A464" s="38"/>
      <c r="B464" s="38"/>
      <c r="C464" s="38"/>
      <c r="D464" s="38"/>
      <c r="F464" s="38"/>
    </row>
    <row r="465">
      <c r="A465" s="38"/>
      <c r="B465" s="38"/>
      <c r="C465" s="38"/>
      <c r="D465" s="38"/>
      <c r="F465" s="38"/>
    </row>
    <row r="466">
      <c r="A466" s="38"/>
      <c r="B466" s="38"/>
      <c r="C466" s="38"/>
      <c r="D466" s="38"/>
      <c r="F466" s="38"/>
    </row>
    <row r="467">
      <c r="A467" s="38"/>
      <c r="B467" s="38"/>
      <c r="C467" s="38"/>
      <c r="D467" s="38"/>
      <c r="F467" s="38"/>
    </row>
    <row r="468">
      <c r="A468" s="38"/>
      <c r="B468" s="38"/>
      <c r="C468" s="38"/>
      <c r="D468" s="38"/>
      <c r="F468" s="38"/>
    </row>
    <row r="469">
      <c r="A469" s="38"/>
      <c r="B469" s="38"/>
      <c r="C469" s="38"/>
      <c r="D469" s="38"/>
      <c r="F469" s="38"/>
    </row>
    <row r="470">
      <c r="A470" s="38"/>
      <c r="B470" s="38"/>
      <c r="C470" s="38"/>
      <c r="D470" s="38"/>
      <c r="F470" s="38"/>
    </row>
    <row r="471">
      <c r="A471" s="38"/>
      <c r="B471" s="38"/>
      <c r="C471" s="38"/>
      <c r="D471" s="38"/>
      <c r="F471" s="38"/>
    </row>
    <row r="472">
      <c r="A472" s="38"/>
      <c r="B472" s="38"/>
      <c r="C472" s="38"/>
      <c r="D472" s="38"/>
      <c r="F472" s="38"/>
    </row>
    <row r="473">
      <c r="A473" s="38"/>
      <c r="B473" s="38"/>
      <c r="C473" s="38"/>
      <c r="D473" s="38"/>
      <c r="F473" s="38"/>
    </row>
    <row r="474">
      <c r="A474" s="38"/>
      <c r="B474" s="38"/>
      <c r="C474" s="38"/>
      <c r="D474" s="38"/>
      <c r="F474" s="38"/>
    </row>
    <row r="475">
      <c r="A475" s="38"/>
      <c r="B475" s="38"/>
      <c r="C475" s="38"/>
      <c r="D475" s="38"/>
      <c r="F475" s="38"/>
    </row>
    <row r="476">
      <c r="A476" s="38"/>
      <c r="B476" s="38"/>
      <c r="C476" s="38"/>
      <c r="D476" s="38"/>
      <c r="F476" s="38"/>
    </row>
    <row r="477">
      <c r="A477" s="38"/>
      <c r="B477" s="38"/>
      <c r="C477" s="38"/>
      <c r="D477" s="38"/>
      <c r="F477" s="38"/>
    </row>
    <row r="478">
      <c r="A478" s="38"/>
      <c r="B478" s="38"/>
      <c r="C478" s="38"/>
      <c r="D478" s="38"/>
      <c r="F478" s="38"/>
    </row>
    <row r="479">
      <c r="A479" s="38"/>
      <c r="B479" s="38"/>
      <c r="C479" s="38"/>
      <c r="D479" s="38"/>
      <c r="F479" s="38"/>
    </row>
    <row r="480">
      <c r="A480" s="38"/>
      <c r="B480" s="38"/>
      <c r="C480" s="38"/>
      <c r="D480" s="38"/>
      <c r="F480" s="38"/>
    </row>
    <row r="481">
      <c r="A481" s="38"/>
      <c r="B481" s="38"/>
      <c r="C481" s="38"/>
      <c r="D481" s="38"/>
      <c r="F481" s="38"/>
    </row>
    <row r="482">
      <c r="A482" s="38"/>
      <c r="B482" s="38"/>
      <c r="C482" s="38"/>
      <c r="D482" s="38"/>
      <c r="F482" s="38"/>
    </row>
    <row r="483">
      <c r="A483" s="38"/>
      <c r="B483" s="38"/>
      <c r="C483" s="38"/>
      <c r="D483" s="38"/>
      <c r="F483" s="38"/>
    </row>
    <row r="484">
      <c r="A484" s="38"/>
      <c r="B484" s="38"/>
      <c r="C484" s="38"/>
      <c r="D484" s="38"/>
      <c r="F484" s="38"/>
    </row>
    <row r="485">
      <c r="A485" s="38"/>
      <c r="B485" s="38"/>
      <c r="C485" s="38"/>
      <c r="D485" s="38"/>
      <c r="F485" s="38"/>
    </row>
    <row r="486">
      <c r="A486" s="38"/>
      <c r="B486" s="38"/>
      <c r="C486" s="38"/>
      <c r="D486" s="38"/>
      <c r="F486" s="38"/>
    </row>
    <row r="487">
      <c r="A487" s="38"/>
      <c r="B487" s="38"/>
      <c r="C487" s="38"/>
      <c r="D487" s="38"/>
      <c r="F487" s="38"/>
    </row>
    <row r="488">
      <c r="A488" s="38"/>
      <c r="B488" s="38"/>
      <c r="C488" s="38"/>
      <c r="D488" s="38"/>
      <c r="F488" s="38"/>
    </row>
    <row r="489">
      <c r="A489" s="38"/>
      <c r="B489" s="38"/>
      <c r="C489" s="38"/>
      <c r="D489" s="38"/>
      <c r="F489" s="38"/>
    </row>
    <row r="490">
      <c r="A490" s="38"/>
      <c r="B490" s="38"/>
      <c r="C490" s="38"/>
      <c r="D490" s="38"/>
      <c r="F490" s="38"/>
    </row>
    <row r="491">
      <c r="A491" s="38"/>
      <c r="B491" s="38"/>
      <c r="C491" s="38"/>
      <c r="D491" s="38"/>
      <c r="F491" s="38"/>
    </row>
    <row r="492">
      <c r="A492" s="38"/>
      <c r="B492" s="38"/>
      <c r="C492" s="38"/>
      <c r="D492" s="38"/>
      <c r="F492" s="38"/>
    </row>
    <row r="493">
      <c r="A493" s="38"/>
      <c r="B493" s="38"/>
      <c r="C493" s="38"/>
      <c r="D493" s="38"/>
      <c r="F493" s="38"/>
    </row>
    <row r="494">
      <c r="A494" s="38"/>
      <c r="B494" s="38"/>
      <c r="C494" s="38"/>
      <c r="D494" s="38"/>
      <c r="F494" s="38"/>
    </row>
    <row r="495">
      <c r="A495" s="38"/>
      <c r="B495" s="38"/>
      <c r="C495" s="38"/>
      <c r="D495" s="38"/>
      <c r="F495" s="38"/>
    </row>
    <row r="496">
      <c r="A496" s="38"/>
      <c r="B496" s="38"/>
      <c r="C496" s="38"/>
      <c r="D496" s="38"/>
      <c r="F496" s="38"/>
    </row>
    <row r="497">
      <c r="A497" s="38"/>
      <c r="B497" s="38"/>
      <c r="C497" s="38"/>
      <c r="D497" s="38"/>
      <c r="F497" s="38"/>
    </row>
    <row r="498">
      <c r="A498" s="38"/>
      <c r="B498" s="38"/>
      <c r="C498" s="38"/>
      <c r="D498" s="38"/>
      <c r="F498" s="38"/>
    </row>
    <row r="499">
      <c r="A499" s="38"/>
      <c r="B499" s="38"/>
      <c r="C499" s="38"/>
      <c r="D499" s="38"/>
      <c r="F499" s="38"/>
    </row>
    <row r="500">
      <c r="A500" s="38"/>
      <c r="B500" s="38"/>
      <c r="C500" s="38"/>
      <c r="D500" s="38"/>
      <c r="F500" s="38"/>
    </row>
    <row r="501">
      <c r="A501" s="38"/>
      <c r="B501" s="38"/>
      <c r="C501" s="38"/>
      <c r="D501" s="38"/>
      <c r="F501" s="38"/>
    </row>
    <row r="502">
      <c r="A502" s="38"/>
      <c r="B502" s="38"/>
      <c r="C502" s="38"/>
      <c r="D502" s="38"/>
      <c r="F502" s="38"/>
    </row>
    <row r="503">
      <c r="A503" s="38"/>
      <c r="B503" s="38"/>
      <c r="C503" s="38"/>
      <c r="D503" s="38"/>
      <c r="F503" s="38"/>
    </row>
    <row r="504">
      <c r="A504" s="38"/>
      <c r="B504" s="38"/>
      <c r="C504" s="38"/>
      <c r="D504" s="38"/>
      <c r="F504" s="38"/>
    </row>
    <row r="505">
      <c r="A505" s="38"/>
      <c r="B505" s="38"/>
      <c r="C505" s="38"/>
      <c r="D505" s="38"/>
      <c r="F505" s="38"/>
    </row>
    <row r="506">
      <c r="A506" s="38"/>
      <c r="B506" s="38"/>
      <c r="C506" s="38"/>
      <c r="D506" s="38"/>
      <c r="F506" s="38"/>
    </row>
    <row r="507">
      <c r="A507" s="38"/>
      <c r="B507" s="38"/>
      <c r="C507" s="38"/>
      <c r="D507" s="38"/>
      <c r="F507" s="38"/>
    </row>
    <row r="508">
      <c r="A508" s="38"/>
      <c r="B508" s="38"/>
      <c r="C508" s="38"/>
      <c r="D508" s="38"/>
      <c r="F508" s="38"/>
    </row>
    <row r="509">
      <c r="A509" s="38"/>
      <c r="B509" s="38"/>
      <c r="C509" s="38"/>
      <c r="D509" s="38"/>
      <c r="F509" s="38"/>
    </row>
    <row r="510">
      <c r="A510" s="38"/>
      <c r="B510" s="38"/>
      <c r="C510" s="38"/>
      <c r="D510" s="38"/>
      <c r="F510" s="38"/>
    </row>
    <row r="511">
      <c r="A511" s="38"/>
      <c r="B511" s="38"/>
      <c r="C511" s="38"/>
      <c r="D511" s="38"/>
      <c r="F511" s="38"/>
    </row>
    <row r="512">
      <c r="A512" s="38"/>
      <c r="B512" s="38"/>
      <c r="C512" s="38"/>
      <c r="D512" s="38"/>
      <c r="F512" s="38"/>
    </row>
    <row r="513">
      <c r="A513" s="38"/>
      <c r="B513" s="38"/>
      <c r="C513" s="38"/>
      <c r="D513" s="38"/>
      <c r="F513" s="38"/>
    </row>
    <row r="514">
      <c r="A514" s="38"/>
      <c r="B514" s="38"/>
      <c r="C514" s="38"/>
      <c r="D514" s="38"/>
      <c r="F514" s="38"/>
    </row>
    <row r="515">
      <c r="A515" s="38"/>
      <c r="B515" s="38"/>
      <c r="C515" s="38"/>
      <c r="D515" s="38"/>
      <c r="F515" s="38"/>
    </row>
    <row r="516">
      <c r="A516" s="38"/>
      <c r="B516" s="38"/>
      <c r="C516" s="38"/>
      <c r="D516" s="38"/>
      <c r="F516" s="38"/>
    </row>
    <row r="517">
      <c r="A517" s="38"/>
      <c r="B517" s="38"/>
      <c r="C517" s="38"/>
      <c r="D517" s="38"/>
      <c r="F517" s="38"/>
    </row>
    <row r="518">
      <c r="A518" s="38"/>
      <c r="B518" s="38"/>
      <c r="C518" s="38"/>
      <c r="D518" s="38"/>
      <c r="F518" s="38"/>
    </row>
    <row r="519">
      <c r="A519" s="38"/>
      <c r="B519" s="38"/>
      <c r="C519" s="38"/>
      <c r="D519" s="38"/>
      <c r="F519" s="38"/>
    </row>
    <row r="520">
      <c r="A520" s="38"/>
      <c r="B520" s="38"/>
      <c r="C520" s="38"/>
      <c r="D520" s="38"/>
      <c r="F520" s="38"/>
    </row>
    <row r="521">
      <c r="A521" s="38"/>
      <c r="B521" s="38"/>
      <c r="C521" s="38"/>
      <c r="D521" s="38"/>
      <c r="F521" s="38"/>
    </row>
    <row r="522">
      <c r="A522" s="38"/>
      <c r="B522" s="38"/>
      <c r="C522" s="38"/>
      <c r="D522" s="38"/>
      <c r="F522" s="38"/>
    </row>
    <row r="523">
      <c r="A523" s="38"/>
      <c r="B523" s="38"/>
      <c r="C523" s="38"/>
      <c r="D523" s="38"/>
      <c r="F523" s="38"/>
    </row>
    <row r="524">
      <c r="A524" s="38"/>
      <c r="B524" s="38"/>
      <c r="C524" s="38"/>
      <c r="D524" s="38"/>
      <c r="F524" s="38"/>
    </row>
    <row r="525">
      <c r="A525" s="38"/>
      <c r="B525" s="38"/>
      <c r="C525" s="38"/>
      <c r="D525" s="38"/>
      <c r="F525" s="38"/>
    </row>
    <row r="526">
      <c r="A526" s="38"/>
      <c r="B526" s="38"/>
      <c r="C526" s="38"/>
      <c r="D526" s="38"/>
      <c r="F526" s="38"/>
    </row>
    <row r="527">
      <c r="A527" s="38"/>
      <c r="B527" s="38"/>
      <c r="C527" s="38"/>
      <c r="D527" s="38"/>
      <c r="F527" s="38"/>
    </row>
    <row r="528">
      <c r="A528" s="38"/>
      <c r="B528" s="38"/>
      <c r="C528" s="38"/>
      <c r="D528" s="38"/>
      <c r="F528" s="38"/>
    </row>
    <row r="529">
      <c r="A529" s="38"/>
      <c r="B529" s="38"/>
      <c r="C529" s="38"/>
      <c r="D529" s="38"/>
      <c r="F529" s="38"/>
    </row>
    <row r="530">
      <c r="A530" s="38"/>
      <c r="B530" s="38"/>
      <c r="C530" s="38"/>
      <c r="D530" s="38"/>
      <c r="F530" s="38"/>
    </row>
    <row r="531">
      <c r="A531" s="38"/>
      <c r="B531" s="38"/>
      <c r="C531" s="38"/>
      <c r="D531" s="38"/>
      <c r="F531" s="38"/>
    </row>
    <row r="532">
      <c r="A532" s="38"/>
      <c r="B532" s="38"/>
      <c r="C532" s="38"/>
      <c r="D532" s="38"/>
      <c r="F532" s="38"/>
    </row>
    <row r="533">
      <c r="A533" s="38"/>
      <c r="B533" s="38"/>
      <c r="C533" s="38"/>
      <c r="D533" s="38"/>
      <c r="F533" s="38"/>
    </row>
    <row r="534">
      <c r="A534" s="38"/>
      <c r="B534" s="38"/>
      <c r="C534" s="38"/>
      <c r="D534" s="38"/>
      <c r="F534" s="38"/>
    </row>
    <row r="535">
      <c r="A535" s="38"/>
      <c r="B535" s="38"/>
      <c r="C535" s="38"/>
      <c r="D535" s="38"/>
      <c r="F535" s="38"/>
    </row>
    <row r="536">
      <c r="A536" s="38"/>
      <c r="B536" s="38"/>
      <c r="C536" s="38"/>
      <c r="D536" s="38"/>
      <c r="F536" s="38"/>
    </row>
    <row r="537">
      <c r="A537" s="38"/>
      <c r="B537" s="38"/>
      <c r="C537" s="38"/>
      <c r="D537" s="38"/>
      <c r="F537" s="38"/>
    </row>
    <row r="538">
      <c r="A538" s="38"/>
      <c r="B538" s="38"/>
      <c r="C538" s="38"/>
      <c r="D538" s="38"/>
      <c r="F538" s="38"/>
    </row>
    <row r="539">
      <c r="A539" s="38"/>
      <c r="B539" s="38"/>
      <c r="C539" s="38"/>
      <c r="D539" s="38"/>
      <c r="F539" s="38"/>
    </row>
    <row r="540">
      <c r="A540" s="38"/>
      <c r="B540" s="38"/>
      <c r="C540" s="38"/>
      <c r="D540" s="38"/>
      <c r="F540" s="38"/>
    </row>
    <row r="541">
      <c r="A541" s="38"/>
      <c r="B541" s="38"/>
      <c r="C541" s="38"/>
      <c r="D541" s="38"/>
      <c r="F541" s="38"/>
    </row>
    <row r="542">
      <c r="A542" s="38"/>
      <c r="B542" s="38"/>
      <c r="C542" s="38"/>
      <c r="D542" s="38"/>
      <c r="F542" s="38"/>
    </row>
    <row r="543">
      <c r="A543" s="38"/>
      <c r="B543" s="38"/>
      <c r="C543" s="38"/>
      <c r="D543" s="38"/>
      <c r="F543" s="38"/>
    </row>
    <row r="544">
      <c r="A544" s="38"/>
      <c r="B544" s="38"/>
      <c r="C544" s="38"/>
      <c r="D544" s="38"/>
      <c r="F544" s="38"/>
    </row>
    <row r="545">
      <c r="A545" s="38"/>
      <c r="B545" s="38"/>
      <c r="C545" s="38"/>
      <c r="D545" s="38"/>
      <c r="F545" s="38"/>
    </row>
    <row r="546">
      <c r="A546" s="38"/>
      <c r="B546" s="38"/>
      <c r="C546" s="38"/>
      <c r="D546" s="38"/>
      <c r="F546" s="38"/>
    </row>
    <row r="547">
      <c r="A547" s="38"/>
      <c r="B547" s="38"/>
      <c r="C547" s="38"/>
      <c r="D547" s="38"/>
      <c r="F547" s="38"/>
    </row>
    <row r="548">
      <c r="A548" s="38"/>
      <c r="B548" s="38"/>
      <c r="C548" s="38"/>
      <c r="D548" s="38"/>
      <c r="F548" s="38"/>
    </row>
    <row r="549">
      <c r="A549" s="38"/>
      <c r="B549" s="38"/>
      <c r="C549" s="38"/>
      <c r="D549" s="38"/>
      <c r="F549" s="38"/>
    </row>
    <row r="550">
      <c r="A550" s="38"/>
      <c r="B550" s="38"/>
      <c r="C550" s="38"/>
      <c r="D550" s="38"/>
      <c r="F550" s="38"/>
    </row>
    <row r="551">
      <c r="A551" s="38"/>
      <c r="B551" s="38"/>
      <c r="C551" s="38"/>
      <c r="D551" s="38"/>
      <c r="F551" s="38"/>
    </row>
    <row r="552">
      <c r="A552" s="38"/>
      <c r="B552" s="38"/>
      <c r="C552" s="38"/>
      <c r="D552" s="38"/>
      <c r="F552" s="38"/>
    </row>
    <row r="553">
      <c r="A553" s="38"/>
      <c r="B553" s="38"/>
      <c r="C553" s="38"/>
      <c r="D553" s="38"/>
      <c r="F553" s="38"/>
    </row>
    <row r="554">
      <c r="A554" s="38"/>
      <c r="B554" s="38"/>
      <c r="C554" s="38"/>
      <c r="D554" s="38"/>
      <c r="F554" s="38"/>
    </row>
    <row r="555">
      <c r="A555" s="38"/>
      <c r="B555" s="38"/>
      <c r="C555" s="38"/>
      <c r="D555" s="38"/>
      <c r="F555" s="38"/>
    </row>
    <row r="556">
      <c r="A556" s="38"/>
      <c r="B556" s="38"/>
      <c r="C556" s="38"/>
      <c r="D556" s="38"/>
      <c r="F556" s="38"/>
    </row>
    <row r="557">
      <c r="A557" s="38"/>
      <c r="B557" s="38"/>
      <c r="C557" s="38"/>
      <c r="D557" s="38"/>
      <c r="F557" s="38"/>
    </row>
    <row r="558">
      <c r="A558" s="38"/>
      <c r="B558" s="38"/>
      <c r="C558" s="38"/>
      <c r="D558" s="38"/>
      <c r="F558" s="38"/>
    </row>
    <row r="559">
      <c r="A559" s="38"/>
      <c r="B559" s="38"/>
      <c r="C559" s="38"/>
      <c r="D559" s="38"/>
      <c r="F559" s="38"/>
    </row>
    <row r="560">
      <c r="A560" s="38"/>
      <c r="B560" s="38"/>
      <c r="C560" s="38"/>
      <c r="D560" s="38"/>
      <c r="F560" s="38"/>
    </row>
    <row r="561">
      <c r="A561" s="38"/>
      <c r="B561" s="38"/>
      <c r="C561" s="38"/>
      <c r="D561" s="38"/>
      <c r="F561" s="38"/>
    </row>
    <row r="562">
      <c r="A562" s="38"/>
      <c r="B562" s="38"/>
      <c r="C562" s="38"/>
      <c r="D562" s="38"/>
      <c r="F562" s="38"/>
    </row>
    <row r="563">
      <c r="A563" s="38"/>
      <c r="B563" s="38"/>
      <c r="C563" s="38"/>
      <c r="D563" s="38"/>
      <c r="F563" s="38"/>
    </row>
    <row r="564">
      <c r="A564" s="38"/>
      <c r="B564" s="38"/>
      <c r="C564" s="38"/>
      <c r="D564" s="38"/>
      <c r="F564" s="38"/>
    </row>
    <row r="565">
      <c r="A565" s="38"/>
      <c r="B565" s="38"/>
      <c r="C565" s="38"/>
      <c r="D565" s="38"/>
      <c r="F565" s="38"/>
    </row>
    <row r="566">
      <c r="A566" s="38"/>
      <c r="B566" s="38"/>
      <c r="C566" s="38"/>
      <c r="D566" s="38"/>
      <c r="F566" s="38"/>
    </row>
    <row r="567">
      <c r="A567" s="38"/>
      <c r="B567" s="38"/>
      <c r="C567" s="38"/>
      <c r="D567" s="38"/>
      <c r="F567" s="38"/>
    </row>
    <row r="568">
      <c r="A568" s="38"/>
      <c r="B568" s="38"/>
      <c r="C568" s="38"/>
      <c r="D568" s="38"/>
      <c r="F568" s="38"/>
    </row>
    <row r="569">
      <c r="A569" s="38"/>
      <c r="B569" s="38"/>
      <c r="C569" s="38"/>
      <c r="D569" s="38"/>
      <c r="F569" s="38"/>
    </row>
    <row r="570">
      <c r="A570" s="38"/>
      <c r="B570" s="38"/>
      <c r="C570" s="38"/>
      <c r="D570" s="38"/>
      <c r="F570" s="38"/>
    </row>
    <row r="571">
      <c r="A571" s="38"/>
      <c r="B571" s="38"/>
      <c r="C571" s="38"/>
      <c r="D571" s="38"/>
      <c r="F571" s="38"/>
    </row>
    <row r="572">
      <c r="A572" s="38"/>
      <c r="B572" s="38"/>
      <c r="C572" s="38"/>
      <c r="D572" s="38"/>
      <c r="F572" s="38"/>
    </row>
    <row r="573">
      <c r="A573" s="38"/>
      <c r="B573" s="38"/>
      <c r="C573" s="38"/>
      <c r="D573" s="38"/>
      <c r="F573" s="38"/>
    </row>
    <row r="574">
      <c r="A574" s="38"/>
      <c r="B574" s="38"/>
      <c r="C574" s="38"/>
      <c r="D574" s="38"/>
      <c r="F574" s="38"/>
    </row>
    <row r="575">
      <c r="A575" s="38"/>
      <c r="B575" s="38"/>
      <c r="C575" s="38"/>
      <c r="D575" s="38"/>
      <c r="F575" s="38"/>
    </row>
    <row r="576">
      <c r="A576" s="38"/>
      <c r="B576" s="38"/>
      <c r="C576" s="38"/>
      <c r="D576" s="38"/>
      <c r="F576" s="38"/>
    </row>
    <row r="577">
      <c r="A577" s="38"/>
      <c r="B577" s="38"/>
      <c r="C577" s="38"/>
      <c r="D577" s="38"/>
      <c r="F577" s="38"/>
    </row>
    <row r="578">
      <c r="A578" s="38"/>
      <c r="B578" s="38"/>
      <c r="C578" s="38"/>
      <c r="D578" s="38"/>
      <c r="F578" s="38"/>
    </row>
    <row r="579">
      <c r="A579" s="38"/>
      <c r="B579" s="38"/>
      <c r="C579" s="38"/>
      <c r="D579" s="38"/>
      <c r="F579" s="38"/>
    </row>
    <row r="580">
      <c r="A580" s="38"/>
      <c r="B580" s="38"/>
      <c r="C580" s="38"/>
      <c r="D580" s="38"/>
      <c r="F580" s="38"/>
    </row>
    <row r="581">
      <c r="A581" s="38"/>
      <c r="B581" s="38"/>
      <c r="C581" s="38"/>
      <c r="D581" s="38"/>
      <c r="F581" s="38"/>
    </row>
    <row r="582">
      <c r="A582" s="38"/>
      <c r="B582" s="38"/>
      <c r="C582" s="38"/>
      <c r="D582" s="38"/>
      <c r="F582" s="38"/>
    </row>
    <row r="583">
      <c r="A583" s="38"/>
      <c r="B583" s="38"/>
      <c r="C583" s="38"/>
      <c r="D583" s="38"/>
      <c r="F583" s="38"/>
    </row>
    <row r="584">
      <c r="A584" s="38"/>
      <c r="B584" s="38"/>
      <c r="C584" s="38"/>
      <c r="D584" s="38"/>
      <c r="F584" s="38"/>
    </row>
    <row r="585">
      <c r="A585" s="38"/>
      <c r="B585" s="38"/>
      <c r="C585" s="38"/>
      <c r="D585" s="38"/>
      <c r="F585" s="38"/>
    </row>
    <row r="586">
      <c r="A586" s="38"/>
      <c r="B586" s="38"/>
      <c r="C586" s="38"/>
      <c r="D586" s="38"/>
      <c r="F586" s="38"/>
    </row>
    <row r="587">
      <c r="A587" s="38"/>
      <c r="B587" s="38"/>
      <c r="C587" s="38"/>
      <c r="D587" s="38"/>
      <c r="F587" s="38"/>
    </row>
    <row r="588">
      <c r="A588" s="38"/>
      <c r="B588" s="38"/>
      <c r="C588" s="38"/>
      <c r="D588" s="38"/>
      <c r="F588" s="38"/>
    </row>
    <row r="589">
      <c r="A589" s="38"/>
      <c r="B589" s="38"/>
      <c r="C589" s="38"/>
      <c r="D589" s="38"/>
      <c r="F589" s="38"/>
    </row>
    <row r="590">
      <c r="A590" s="38"/>
      <c r="B590" s="38"/>
      <c r="C590" s="38"/>
      <c r="D590" s="38"/>
      <c r="F590" s="38"/>
    </row>
    <row r="591">
      <c r="A591" s="38"/>
      <c r="B591" s="38"/>
      <c r="C591" s="38"/>
      <c r="D591" s="38"/>
      <c r="F591" s="38"/>
    </row>
    <row r="592">
      <c r="A592" s="38"/>
      <c r="B592" s="38"/>
      <c r="C592" s="38"/>
      <c r="D592" s="38"/>
      <c r="F592" s="38"/>
    </row>
    <row r="593">
      <c r="A593" s="38"/>
      <c r="B593" s="38"/>
      <c r="C593" s="38"/>
      <c r="D593" s="38"/>
      <c r="F593" s="38"/>
    </row>
    <row r="594">
      <c r="A594" s="38"/>
      <c r="B594" s="38"/>
      <c r="C594" s="38"/>
      <c r="D594" s="38"/>
      <c r="F594" s="38"/>
    </row>
    <row r="595">
      <c r="A595" s="38"/>
      <c r="B595" s="38"/>
      <c r="C595" s="38"/>
      <c r="D595" s="38"/>
      <c r="F595" s="38"/>
    </row>
    <row r="596">
      <c r="A596" s="38"/>
      <c r="B596" s="38"/>
      <c r="C596" s="38"/>
      <c r="D596" s="38"/>
      <c r="F596" s="38"/>
    </row>
    <row r="597">
      <c r="A597" s="38"/>
      <c r="B597" s="38"/>
      <c r="C597" s="38"/>
      <c r="D597" s="38"/>
      <c r="F597" s="38"/>
    </row>
    <row r="598">
      <c r="A598" s="38"/>
      <c r="B598" s="38"/>
      <c r="C598" s="38"/>
      <c r="D598" s="38"/>
      <c r="F598" s="38"/>
    </row>
    <row r="599">
      <c r="A599" s="38"/>
      <c r="B599" s="38"/>
      <c r="C599" s="38"/>
      <c r="D599" s="38"/>
      <c r="F599" s="38"/>
    </row>
    <row r="600">
      <c r="A600" s="38"/>
      <c r="B600" s="38"/>
      <c r="C600" s="38"/>
      <c r="D600" s="38"/>
      <c r="F600" s="38"/>
    </row>
    <row r="601">
      <c r="A601" s="38"/>
      <c r="B601" s="38"/>
      <c r="C601" s="38"/>
      <c r="D601" s="38"/>
      <c r="F601" s="38"/>
    </row>
    <row r="602">
      <c r="A602" s="38"/>
      <c r="B602" s="38"/>
      <c r="C602" s="38"/>
      <c r="D602" s="38"/>
      <c r="F602" s="38"/>
    </row>
    <row r="603">
      <c r="A603" s="38"/>
      <c r="B603" s="38"/>
      <c r="C603" s="38"/>
      <c r="D603" s="38"/>
      <c r="F603" s="38"/>
    </row>
    <row r="604">
      <c r="A604" s="38"/>
      <c r="B604" s="38"/>
      <c r="C604" s="38"/>
      <c r="D604" s="38"/>
      <c r="F604" s="38"/>
    </row>
    <row r="605">
      <c r="A605" s="38"/>
      <c r="B605" s="38"/>
      <c r="C605" s="38"/>
      <c r="D605" s="38"/>
      <c r="F605" s="38"/>
    </row>
    <row r="606">
      <c r="A606" s="38"/>
      <c r="B606" s="38"/>
      <c r="C606" s="38"/>
      <c r="D606" s="38"/>
      <c r="F606" s="38"/>
    </row>
    <row r="607">
      <c r="A607" s="38"/>
      <c r="B607" s="38"/>
      <c r="C607" s="38"/>
      <c r="D607" s="38"/>
      <c r="F607" s="38"/>
    </row>
    <row r="608">
      <c r="A608" s="38"/>
      <c r="B608" s="38"/>
      <c r="C608" s="38"/>
      <c r="D608" s="38"/>
      <c r="F608" s="38"/>
    </row>
    <row r="609">
      <c r="A609" s="38"/>
      <c r="B609" s="38"/>
      <c r="C609" s="38"/>
      <c r="D609" s="38"/>
      <c r="F609" s="38"/>
    </row>
    <row r="610">
      <c r="A610" s="38"/>
      <c r="B610" s="38"/>
      <c r="C610" s="38"/>
      <c r="D610" s="38"/>
      <c r="F610" s="38"/>
    </row>
    <row r="611">
      <c r="A611" s="38"/>
      <c r="B611" s="38"/>
      <c r="C611" s="38"/>
      <c r="D611" s="38"/>
      <c r="F611" s="38"/>
    </row>
    <row r="612">
      <c r="A612" s="38"/>
      <c r="B612" s="38"/>
      <c r="C612" s="38"/>
      <c r="D612" s="38"/>
      <c r="F612" s="38"/>
    </row>
    <row r="613">
      <c r="A613" s="38"/>
      <c r="B613" s="38"/>
      <c r="C613" s="38"/>
      <c r="D613" s="38"/>
      <c r="F613" s="38"/>
    </row>
    <row r="614">
      <c r="A614" s="38"/>
      <c r="B614" s="38"/>
      <c r="C614" s="38"/>
      <c r="D614" s="38"/>
      <c r="F614" s="38"/>
    </row>
    <row r="615">
      <c r="A615" s="38"/>
      <c r="B615" s="38"/>
      <c r="C615" s="38"/>
      <c r="D615" s="38"/>
      <c r="F615" s="38"/>
    </row>
    <row r="616">
      <c r="A616" s="38"/>
      <c r="B616" s="38"/>
      <c r="C616" s="38"/>
      <c r="D616" s="38"/>
      <c r="F616" s="38"/>
    </row>
    <row r="617">
      <c r="A617" s="38"/>
      <c r="B617" s="38"/>
      <c r="C617" s="38"/>
      <c r="D617" s="38"/>
      <c r="F617" s="38"/>
    </row>
    <row r="618">
      <c r="A618" s="38"/>
      <c r="B618" s="38"/>
      <c r="C618" s="38"/>
      <c r="D618" s="38"/>
      <c r="F618" s="38"/>
    </row>
    <row r="619">
      <c r="A619" s="38"/>
      <c r="B619" s="38"/>
      <c r="C619" s="38"/>
      <c r="D619" s="38"/>
      <c r="F619" s="38"/>
    </row>
    <row r="620">
      <c r="A620" s="38"/>
      <c r="B620" s="38"/>
      <c r="C620" s="38"/>
      <c r="D620" s="38"/>
      <c r="F620" s="38"/>
    </row>
    <row r="621">
      <c r="A621" s="38"/>
      <c r="B621" s="38"/>
      <c r="C621" s="38"/>
      <c r="D621" s="38"/>
      <c r="F621" s="38"/>
    </row>
    <row r="622">
      <c r="A622" s="38"/>
      <c r="B622" s="38"/>
      <c r="C622" s="38"/>
      <c r="D622" s="38"/>
      <c r="F622" s="38"/>
    </row>
    <row r="623">
      <c r="A623" s="38"/>
      <c r="B623" s="38"/>
      <c r="C623" s="38"/>
      <c r="D623" s="38"/>
      <c r="F623" s="38"/>
    </row>
    <row r="624">
      <c r="A624" s="38"/>
      <c r="B624" s="38"/>
      <c r="C624" s="38"/>
      <c r="D624" s="38"/>
      <c r="F624" s="38"/>
    </row>
    <row r="625">
      <c r="A625" s="38"/>
      <c r="B625" s="38"/>
      <c r="C625" s="38"/>
      <c r="D625" s="38"/>
      <c r="F625" s="38"/>
    </row>
    <row r="626">
      <c r="A626" s="38"/>
      <c r="B626" s="38"/>
      <c r="C626" s="38"/>
      <c r="D626" s="38"/>
      <c r="F626" s="38"/>
    </row>
    <row r="627">
      <c r="A627" s="38"/>
      <c r="B627" s="38"/>
      <c r="C627" s="38"/>
      <c r="D627" s="38"/>
      <c r="F627" s="38"/>
    </row>
    <row r="628">
      <c r="A628" s="38"/>
      <c r="B628" s="38"/>
      <c r="C628" s="38"/>
      <c r="D628" s="38"/>
      <c r="F628" s="38"/>
    </row>
    <row r="629">
      <c r="A629" s="38"/>
      <c r="B629" s="38"/>
      <c r="C629" s="38"/>
      <c r="D629" s="38"/>
      <c r="F629" s="38"/>
    </row>
    <row r="630">
      <c r="A630" s="38"/>
      <c r="B630" s="38"/>
      <c r="C630" s="38"/>
      <c r="D630" s="38"/>
      <c r="F630" s="38"/>
    </row>
    <row r="631">
      <c r="A631" s="38"/>
      <c r="B631" s="38"/>
      <c r="C631" s="38"/>
      <c r="D631" s="38"/>
      <c r="F631" s="38"/>
    </row>
    <row r="632">
      <c r="A632" s="38"/>
      <c r="B632" s="38"/>
      <c r="C632" s="38"/>
      <c r="D632" s="38"/>
      <c r="F632" s="38"/>
    </row>
    <row r="633">
      <c r="A633" s="38"/>
      <c r="B633" s="38"/>
      <c r="C633" s="38"/>
      <c r="D633" s="38"/>
      <c r="F633" s="38"/>
    </row>
    <row r="634">
      <c r="A634" s="38"/>
      <c r="B634" s="38"/>
      <c r="C634" s="38"/>
      <c r="D634" s="38"/>
      <c r="F634" s="38"/>
    </row>
    <row r="635">
      <c r="A635" s="38"/>
      <c r="B635" s="38"/>
      <c r="C635" s="38"/>
      <c r="D635" s="38"/>
      <c r="F635" s="38"/>
    </row>
    <row r="636">
      <c r="A636" s="38"/>
      <c r="B636" s="38"/>
      <c r="C636" s="38"/>
      <c r="D636" s="38"/>
      <c r="F636" s="38"/>
    </row>
    <row r="637">
      <c r="A637" s="38"/>
      <c r="B637" s="38"/>
      <c r="C637" s="38"/>
      <c r="D637" s="38"/>
      <c r="F637" s="38"/>
    </row>
    <row r="638">
      <c r="A638" s="38"/>
      <c r="B638" s="38"/>
      <c r="C638" s="38"/>
      <c r="D638" s="38"/>
      <c r="F638" s="38"/>
    </row>
    <row r="639">
      <c r="A639" s="38"/>
      <c r="B639" s="38"/>
      <c r="C639" s="38"/>
      <c r="D639" s="38"/>
      <c r="F639" s="38"/>
    </row>
    <row r="640">
      <c r="A640" s="38"/>
      <c r="B640" s="38"/>
      <c r="C640" s="38"/>
      <c r="D640" s="38"/>
      <c r="F640" s="38"/>
    </row>
    <row r="641">
      <c r="A641" s="38"/>
      <c r="B641" s="38"/>
      <c r="C641" s="38"/>
      <c r="D641" s="38"/>
      <c r="F641" s="38"/>
    </row>
    <row r="642">
      <c r="A642" s="38"/>
      <c r="B642" s="38"/>
      <c r="C642" s="38"/>
      <c r="D642" s="38"/>
      <c r="F642" s="38"/>
    </row>
    <row r="643">
      <c r="A643" s="38"/>
      <c r="B643" s="38"/>
      <c r="C643" s="38"/>
      <c r="D643" s="38"/>
      <c r="F643" s="38"/>
    </row>
    <row r="644">
      <c r="A644" s="38"/>
      <c r="B644" s="38"/>
      <c r="C644" s="38"/>
      <c r="D644" s="38"/>
      <c r="F644" s="38"/>
    </row>
    <row r="645">
      <c r="A645" s="38"/>
      <c r="B645" s="38"/>
      <c r="C645" s="38"/>
      <c r="D645" s="38"/>
      <c r="F645" s="38"/>
    </row>
    <row r="646">
      <c r="A646" s="38"/>
      <c r="B646" s="38"/>
      <c r="C646" s="38"/>
      <c r="D646" s="38"/>
      <c r="F646" s="38"/>
    </row>
    <row r="647">
      <c r="A647" s="38"/>
      <c r="B647" s="38"/>
      <c r="C647" s="38"/>
      <c r="D647" s="38"/>
      <c r="F647" s="38"/>
    </row>
    <row r="648">
      <c r="A648" s="38"/>
      <c r="B648" s="38"/>
      <c r="C648" s="38"/>
      <c r="D648" s="38"/>
      <c r="F648" s="38"/>
    </row>
    <row r="649">
      <c r="A649" s="38"/>
      <c r="B649" s="38"/>
      <c r="C649" s="38"/>
      <c r="D649" s="38"/>
      <c r="F649" s="38"/>
    </row>
    <row r="650">
      <c r="A650" s="38"/>
      <c r="B650" s="38"/>
      <c r="C650" s="38"/>
      <c r="D650" s="38"/>
      <c r="F650" s="38"/>
    </row>
    <row r="651">
      <c r="A651" s="38"/>
      <c r="B651" s="38"/>
      <c r="C651" s="38"/>
      <c r="D651" s="38"/>
      <c r="F651" s="38"/>
    </row>
    <row r="652">
      <c r="A652" s="38"/>
      <c r="B652" s="38"/>
      <c r="C652" s="38"/>
      <c r="D652" s="38"/>
      <c r="F652" s="38"/>
    </row>
    <row r="653">
      <c r="A653" s="38"/>
      <c r="B653" s="38"/>
      <c r="C653" s="38"/>
      <c r="D653" s="38"/>
      <c r="F653" s="38"/>
    </row>
    <row r="654">
      <c r="A654" s="38"/>
      <c r="B654" s="38"/>
      <c r="C654" s="38"/>
      <c r="D654" s="38"/>
      <c r="F654" s="38"/>
    </row>
    <row r="655">
      <c r="A655" s="38"/>
      <c r="B655" s="38"/>
      <c r="C655" s="38"/>
      <c r="D655" s="38"/>
      <c r="F655" s="38"/>
    </row>
    <row r="656">
      <c r="A656" s="38"/>
      <c r="B656" s="38"/>
      <c r="C656" s="38"/>
      <c r="D656" s="38"/>
      <c r="F656" s="38"/>
    </row>
    <row r="657">
      <c r="A657" s="38"/>
      <c r="B657" s="38"/>
      <c r="C657" s="38"/>
      <c r="D657" s="38"/>
      <c r="F657" s="38"/>
    </row>
    <row r="658">
      <c r="A658" s="38"/>
      <c r="B658" s="38"/>
      <c r="C658" s="38"/>
      <c r="D658" s="38"/>
      <c r="F658" s="38"/>
    </row>
    <row r="659">
      <c r="A659" s="38"/>
      <c r="B659" s="38"/>
      <c r="C659" s="38"/>
      <c r="D659" s="38"/>
      <c r="F659" s="38"/>
    </row>
    <row r="660">
      <c r="A660" s="38"/>
      <c r="B660" s="38"/>
      <c r="C660" s="38"/>
      <c r="D660" s="38"/>
      <c r="F660" s="38"/>
    </row>
    <row r="661">
      <c r="A661" s="38"/>
      <c r="B661" s="38"/>
      <c r="C661" s="38"/>
      <c r="D661" s="38"/>
      <c r="F661" s="38"/>
    </row>
    <row r="662">
      <c r="A662" s="38"/>
      <c r="B662" s="38"/>
      <c r="C662" s="38"/>
      <c r="D662" s="38"/>
      <c r="F662" s="38"/>
    </row>
    <row r="663">
      <c r="A663" s="38"/>
      <c r="B663" s="38"/>
      <c r="C663" s="38"/>
      <c r="D663" s="38"/>
      <c r="F663" s="38"/>
    </row>
    <row r="664">
      <c r="A664" s="38"/>
      <c r="B664" s="38"/>
      <c r="C664" s="38"/>
      <c r="D664" s="38"/>
      <c r="F664" s="38"/>
    </row>
    <row r="665">
      <c r="A665" s="38"/>
      <c r="B665" s="38"/>
      <c r="C665" s="38"/>
      <c r="D665" s="38"/>
      <c r="F665" s="38"/>
    </row>
    <row r="666">
      <c r="A666" s="38"/>
      <c r="B666" s="38"/>
      <c r="C666" s="38"/>
      <c r="D666" s="38"/>
      <c r="F666" s="38"/>
    </row>
    <row r="667">
      <c r="A667" s="38"/>
      <c r="B667" s="38"/>
      <c r="C667" s="38"/>
      <c r="D667" s="38"/>
      <c r="F667" s="38"/>
    </row>
    <row r="668">
      <c r="A668" s="38"/>
      <c r="B668" s="38"/>
      <c r="C668" s="38"/>
      <c r="D668" s="38"/>
      <c r="F668" s="38"/>
    </row>
    <row r="669">
      <c r="A669" s="38"/>
      <c r="B669" s="38"/>
      <c r="C669" s="38"/>
      <c r="D669" s="38"/>
      <c r="F669" s="38"/>
    </row>
    <row r="670">
      <c r="A670" s="38"/>
      <c r="B670" s="38"/>
      <c r="C670" s="38"/>
      <c r="D670" s="38"/>
      <c r="F670" s="38"/>
    </row>
    <row r="671">
      <c r="A671" s="38"/>
      <c r="B671" s="38"/>
      <c r="C671" s="38"/>
      <c r="D671" s="38"/>
      <c r="F671" s="38"/>
    </row>
    <row r="672">
      <c r="A672" s="38"/>
      <c r="B672" s="38"/>
      <c r="C672" s="38"/>
      <c r="D672" s="38"/>
      <c r="F672" s="38"/>
    </row>
    <row r="673">
      <c r="A673" s="38"/>
      <c r="B673" s="38"/>
      <c r="C673" s="38"/>
      <c r="D673" s="38"/>
      <c r="F673" s="38"/>
    </row>
    <row r="674">
      <c r="A674" s="38"/>
      <c r="B674" s="38"/>
      <c r="C674" s="38"/>
      <c r="D674" s="38"/>
      <c r="F674" s="38"/>
    </row>
    <row r="675">
      <c r="A675" s="38"/>
      <c r="B675" s="38"/>
      <c r="C675" s="38"/>
      <c r="D675" s="38"/>
      <c r="F675" s="38"/>
    </row>
    <row r="676">
      <c r="A676" s="38"/>
      <c r="B676" s="38"/>
      <c r="C676" s="38"/>
      <c r="D676" s="38"/>
      <c r="F676" s="38"/>
    </row>
    <row r="677">
      <c r="A677" s="38"/>
      <c r="B677" s="38"/>
      <c r="C677" s="38"/>
      <c r="D677" s="38"/>
      <c r="F677" s="38"/>
    </row>
    <row r="678">
      <c r="A678" s="38"/>
      <c r="B678" s="38"/>
      <c r="C678" s="38"/>
      <c r="D678" s="38"/>
      <c r="F678" s="38"/>
    </row>
    <row r="679">
      <c r="A679" s="38"/>
      <c r="B679" s="38"/>
      <c r="C679" s="38"/>
      <c r="D679" s="38"/>
      <c r="F679" s="38"/>
    </row>
    <row r="680">
      <c r="A680" s="38"/>
      <c r="B680" s="38"/>
      <c r="C680" s="38"/>
      <c r="D680" s="38"/>
      <c r="F680" s="38"/>
    </row>
    <row r="681">
      <c r="A681" s="38"/>
      <c r="B681" s="38"/>
      <c r="C681" s="38"/>
      <c r="D681" s="38"/>
      <c r="F681" s="38"/>
    </row>
    <row r="682">
      <c r="A682" s="38"/>
      <c r="B682" s="38"/>
      <c r="C682" s="38"/>
      <c r="D682" s="38"/>
      <c r="F682" s="38"/>
    </row>
    <row r="683">
      <c r="A683" s="38"/>
      <c r="B683" s="38"/>
      <c r="C683" s="38"/>
      <c r="D683" s="38"/>
      <c r="F683" s="38"/>
    </row>
    <row r="684">
      <c r="A684" s="38"/>
      <c r="B684" s="38"/>
      <c r="C684" s="38"/>
      <c r="D684" s="38"/>
      <c r="F684" s="38"/>
    </row>
    <row r="685">
      <c r="A685" s="38"/>
      <c r="B685" s="38"/>
      <c r="C685" s="38"/>
      <c r="D685" s="38"/>
      <c r="F685" s="38"/>
    </row>
    <row r="686">
      <c r="A686" s="38"/>
      <c r="B686" s="38"/>
      <c r="C686" s="38"/>
      <c r="D686" s="38"/>
      <c r="F686" s="38"/>
    </row>
    <row r="687">
      <c r="A687" s="38"/>
      <c r="B687" s="38"/>
      <c r="C687" s="38"/>
      <c r="D687" s="38"/>
      <c r="F687" s="38"/>
    </row>
    <row r="688">
      <c r="A688" s="38"/>
      <c r="B688" s="38"/>
      <c r="C688" s="38"/>
      <c r="D688" s="38"/>
      <c r="F688" s="38"/>
    </row>
    <row r="689">
      <c r="A689" s="38"/>
      <c r="B689" s="38"/>
      <c r="C689" s="38"/>
      <c r="D689" s="38"/>
      <c r="F689" s="38"/>
    </row>
    <row r="690">
      <c r="A690" s="38"/>
      <c r="B690" s="38"/>
      <c r="C690" s="38"/>
      <c r="D690" s="38"/>
      <c r="F690" s="38"/>
    </row>
    <row r="691">
      <c r="A691" s="38"/>
      <c r="B691" s="38"/>
      <c r="C691" s="38"/>
      <c r="D691" s="38"/>
      <c r="F691" s="38"/>
    </row>
    <row r="692">
      <c r="A692" s="38"/>
      <c r="B692" s="38"/>
      <c r="C692" s="38"/>
      <c r="D692" s="38"/>
      <c r="F692" s="38"/>
    </row>
    <row r="693">
      <c r="A693" s="38"/>
      <c r="B693" s="38"/>
      <c r="C693" s="38"/>
      <c r="D693" s="38"/>
      <c r="F693" s="38"/>
    </row>
    <row r="694">
      <c r="A694" s="38"/>
      <c r="B694" s="38"/>
      <c r="C694" s="38"/>
      <c r="D694" s="38"/>
      <c r="F694" s="38"/>
    </row>
    <row r="695">
      <c r="A695" s="38"/>
      <c r="B695" s="38"/>
      <c r="C695" s="38"/>
      <c r="D695" s="38"/>
      <c r="F695" s="38"/>
    </row>
    <row r="696">
      <c r="A696" s="38"/>
      <c r="B696" s="38"/>
      <c r="C696" s="38"/>
      <c r="D696" s="38"/>
      <c r="F696" s="38"/>
    </row>
    <row r="697">
      <c r="A697" s="38"/>
      <c r="B697" s="38"/>
      <c r="C697" s="38"/>
      <c r="D697" s="38"/>
      <c r="F697" s="38"/>
    </row>
    <row r="698">
      <c r="A698" s="38"/>
      <c r="B698" s="38"/>
      <c r="C698" s="38"/>
      <c r="D698" s="38"/>
      <c r="F698" s="38"/>
    </row>
    <row r="699">
      <c r="A699" s="38"/>
      <c r="B699" s="38"/>
      <c r="C699" s="38"/>
      <c r="D699" s="38"/>
      <c r="F699" s="38"/>
    </row>
    <row r="700">
      <c r="A700" s="38"/>
      <c r="B700" s="38"/>
      <c r="C700" s="38"/>
      <c r="D700" s="38"/>
      <c r="F700" s="38"/>
    </row>
    <row r="701">
      <c r="A701" s="38"/>
      <c r="B701" s="38"/>
      <c r="C701" s="38"/>
      <c r="D701" s="38"/>
      <c r="F701" s="38"/>
    </row>
    <row r="702">
      <c r="A702" s="38"/>
      <c r="B702" s="38"/>
      <c r="C702" s="38"/>
      <c r="D702" s="38"/>
      <c r="F702" s="38"/>
    </row>
    <row r="703">
      <c r="A703" s="38"/>
      <c r="B703" s="38"/>
      <c r="C703" s="38"/>
      <c r="D703" s="38"/>
      <c r="F703" s="38"/>
    </row>
    <row r="704">
      <c r="A704" s="38"/>
      <c r="B704" s="38"/>
      <c r="C704" s="38"/>
      <c r="D704" s="38"/>
      <c r="F704" s="38"/>
    </row>
    <row r="705">
      <c r="A705" s="38"/>
      <c r="B705" s="38"/>
      <c r="C705" s="38"/>
      <c r="D705" s="38"/>
      <c r="F705" s="38"/>
    </row>
    <row r="706">
      <c r="A706" s="38"/>
      <c r="B706" s="38"/>
      <c r="C706" s="38"/>
      <c r="D706" s="38"/>
      <c r="F706" s="38"/>
    </row>
    <row r="707">
      <c r="A707" s="38"/>
      <c r="B707" s="38"/>
      <c r="C707" s="38"/>
      <c r="D707" s="38"/>
      <c r="F707" s="38"/>
    </row>
    <row r="708">
      <c r="A708" s="38"/>
      <c r="B708" s="38"/>
      <c r="C708" s="38"/>
      <c r="D708" s="38"/>
      <c r="F708" s="38"/>
    </row>
    <row r="709">
      <c r="A709" s="38"/>
      <c r="B709" s="38"/>
      <c r="C709" s="38"/>
      <c r="D709" s="38"/>
      <c r="F709" s="38"/>
    </row>
    <row r="710">
      <c r="A710" s="38"/>
      <c r="B710" s="38"/>
      <c r="C710" s="38"/>
      <c r="D710" s="38"/>
      <c r="F710" s="38"/>
    </row>
    <row r="711">
      <c r="A711" s="38"/>
      <c r="B711" s="38"/>
      <c r="C711" s="38"/>
      <c r="D711" s="38"/>
      <c r="F711" s="38"/>
    </row>
    <row r="712">
      <c r="A712" s="38"/>
      <c r="B712" s="38"/>
      <c r="C712" s="38"/>
      <c r="D712" s="38"/>
      <c r="F712" s="38"/>
    </row>
    <row r="713">
      <c r="A713" s="38"/>
      <c r="B713" s="38"/>
      <c r="C713" s="38"/>
      <c r="D713" s="38"/>
      <c r="F713" s="38"/>
    </row>
    <row r="714">
      <c r="A714" s="38"/>
      <c r="B714" s="38"/>
      <c r="C714" s="38"/>
      <c r="D714" s="38"/>
      <c r="F714" s="38"/>
    </row>
    <row r="715">
      <c r="A715" s="38"/>
      <c r="B715" s="38"/>
      <c r="C715" s="38"/>
      <c r="D715" s="38"/>
      <c r="F715" s="38"/>
    </row>
    <row r="716">
      <c r="A716" s="38"/>
      <c r="B716" s="38"/>
      <c r="C716" s="38"/>
      <c r="D716" s="38"/>
      <c r="F716" s="38"/>
    </row>
    <row r="717">
      <c r="A717" s="38"/>
      <c r="B717" s="38"/>
      <c r="C717" s="38"/>
      <c r="D717" s="38"/>
      <c r="F717" s="38"/>
    </row>
    <row r="718">
      <c r="A718" s="38"/>
      <c r="B718" s="38"/>
      <c r="C718" s="38"/>
      <c r="D718" s="38"/>
      <c r="F718" s="38"/>
    </row>
    <row r="719">
      <c r="A719" s="38"/>
      <c r="B719" s="38"/>
      <c r="C719" s="38"/>
      <c r="D719" s="38"/>
      <c r="F719" s="38"/>
    </row>
    <row r="720">
      <c r="A720" s="38"/>
      <c r="B720" s="38"/>
      <c r="C720" s="38"/>
      <c r="D720" s="38"/>
      <c r="F720" s="38"/>
    </row>
    <row r="721">
      <c r="A721" s="38"/>
      <c r="B721" s="38"/>
      <c r="C721" s="38"/>
      <c r="D721" s="38"/>
      <c r="F721" s="38"/>
    </row>
    <row r="722">
      <c r="A722" s="38"/>
      <c r="B722" s="38"/>
      <c r="C722" s="38"/>
      <c r="D722" s="38"/>
      <c r="F722" s="38"/>
    </row>
    <row r="723">
      <c r="A723" s="38"/>
      <c r="B723" s="38"/>
      <c r="C723" s="38"/>
      <c r="D723" s="38"/>
      <c r="F723" s="38"/>
    </row>
    <row r="724">
      <c r="A724" s="38"/>
      <c r="B724" s="38"/>
      <c r="C724" s="38"/>
      <c r="D724" s="38"/>
      <c r="F724" s="38"/>
    </row>
    <row r="725">
      <c r="A725" s="38"/>
      <c r="B725" s="38"/>
      <c r="C725" s="38"/>
      <c r="D725" s="38"/>
      <c r="F725" s="38"/>
    </row>
    <row r="726">
      <c r="A726" s="38"/>
      <c r="B726" s="38"/>
      <c r="C726" s="38"/>
      <c r="D726" s="38"/>
      <c r="F726" s="38"/>
    </row>
    <row r="727">
      <c r="A727" s="38"/>
      <c r="B727" s="38"/>
      <c r="C727" s="38"/>
      <c r="D727" s="38"/>
      <c r="F727" s="38"/>
    </row>
    <row r="728">
      <c r="A728" s="38"/>
      <c r="B728" s="38"/>
      <c r="C728" s="38"/>
      <c r="D728" s="38"/>
      <c r="F728" s="38"/>
    </row>
    <row r="729">
      <c r="A729" s="38"/>
      <c r="B729" s="38"/>
      <c r="C729" s="38"/>
      <c r="D729" s="38"/>
      <c r="F729" s="38"/>
    </row>
    <row r="730">
      <c r="A730" s="38"/>
      <c r="B730" s="38"/>
      <c r="C730" s="38"/>
      <c r="D730" s="38"/>
      <c r="F730" s="38"/>
    </row>
    <row r="731">
      <c r="A731" s="38"/>
      <c r="B731" s="38"/>
      <c r="C731" s="38"/>
      <c r="D731" s="38"/>
      <c r="F731" s="38"/>
    </row>
    <row r="732">
      <c r="A732" s="38"/>
      <c r="B732" s="38"/>
      <c r="C732" s="38"/>
      <c r="D732" s="38"/>
      <c r="F732" s="38"/>
    </row>
    <row r="733">
      <c r="A733" s="38"/>
      <c r="B733" s="38"/>
      <c r="C733" s="38"/>
      <c r="D733" s="38"/>
      <c r="F733" s="38"/>
    </row>
    <row r="734">
      <c r="A734" s="38"/>
      <c r="B734" s="38"/>
      <c r="C734" s="38"/>
      <c r="D734" s="38"/>
      <c r="F734" s="38"/>
    </row>
    <row r="735">
      <c r="A735" s="38"/>
      <c r="B735" s="38"/>
      <c r="C735" s="38"/>
      <c r="D735" s="38"/>
      <c r="F735" s="38"/>
    </row>
    <row r="736">
      <c r="A736" s="38"/>
      <c r="B736" s="38"/>
      <c r="C736" s="38"/>
      <c r="D736" s="38"/>
      <c r="F736" s="38"/>
    </row>
    <row r="737">
      <c r="A737" s="38"/>
      <c r="B737" s="38"/>
      <c r="C737" s="38"/>
      <c r="D737" s="38"/>
      <c r="F737" s="38"/>
    </row>
    <row r="738">
      <c r="A738" s="38"/>
      <c r="B738" s="38"/>
      <c r="C738" s="38"/>
      <c r="D738" s="38"/>
      <c r="F738" s="38"/>
    </row>
    <row r="739">
      <c r="A739" s="38"/>
      <c r="B739" s="38"/>
      <c r="C739" s="38"/>
      <c r="D739" s="38"/>
      <c r="F739" s="38"/>
    </row>
    <row r="740">
      <c r="A740" s="38"/>
      <c r="B740" s="38"/>
      <c r="C740" s="38"/>
      <c r="D740" s="38"/>
      <c r="F740" s="38"/>
    </row>
    <row r="741">
      <c r="A741" s="38"/>
      <c r="B741" s="38"/>
      <c r="C741" s="38"/>
      <c r="D741" s="38"/>
      <c r="F741" s="38"/>
    </row>
    <row r="742">
      <c r="A742" s="38"/>
      <c r="B742" s="38"/>
      <c r="C742" s="38"/>
      <c r="D742" s="38"/>
      <c r="F742" s="38"/>
    </row>
    <row r="743">
      <c r="A743" s="38"/>
      <c r="B743" s="38"/>
      <c r="C743" s="38"/>
      <c r="D743" s="38"/>
      <c r="F743" s="38"/>
    </row>
    <row r="744">
      <c r="A744" s="38"/>
      <c r="B744" s="38"/>
      <c r="C744" s="38"/>
      <c r="D744" s="38"/>
      <c r="F744" s="38"/>
    </row>
    <row r="745">
      <c r="A745" s="38"/>
      <c r="B745" s="38"/>
      <c r="C745" s="38"/>
      <c r="D745" s="38"/>
      <c r="F745" s="38"/>
    </row>
    <row r="746">
      <c r="A746" s="38"/>
      <c r="B746" s="38"/>
      <c r="C746" s="38"/>
      <c r="D746" s="38"/>
      <c r="F746" s="38"/>
    </row>
    <row r="747">
      <c r="A747" s="38"/>
      <c r="B747" s="38"/>
      <c r="C747" s="38"/>
      <c r="D747" s="38"/>
      <c r="F747" s="38"/>
    </row>
    <row r="748">
      <c r="A748" s="38"/>
      <c r="B748" s="38"/>
      <c r="C748" s="38"/>
      <c r="D748" s="38"/>
      <c r="F748" s="38"/>
    </row>
    <row r="749">
      <c r="A749" s="38"/>
      <c r="B749" s="38"/>
      <c r="C749" s="38"/>
      <c r="D749" s="38"/>
      <c r="F749" s="38"/>
    </row>
    <row r="750">
      <c r="A750" s="38"/>
      <c r="B750" s="38"/>
      <c r="C750" s="38"/>
      <c r="D750" s="38"/>
      <c r="F750" s="38"/>
    </row>
    <row r="751">
      <c r="A751" s="38"/>
      <c r="B751" s="38"/>
      <c r="C751" s="38"/>
      <c r="D751" s="38"/>
      <c r="F751" s="38"/>
    </row>
    <row r="752">
      <c r="A752" s="38"/>
      <c r="B752" s="38"/>
      <c r="C752" s="38"/>
      <c r="D752" s="38"/>
      <c r="F752" s="38"/>
    </row>
    <row r="753">
      <c r="A753" s="38"/>
      <c r="B753" s="38"/>
      <c r="C753" s="38"/>
      <c r="D753" s="38"/>
      <c r="F753" s="38"/>
    </row>
    <row r="754">
      <c r="A754" s="38"/>
      <c r="B754" s="38"/>
      <c r="C754" s="38"/>
      <c r="D754" s="38"/>
      <c r="F754" s="38"/>
    </row>
    <row r="755">
      <c r="A755" s="38"/>
      <c r="B755" s="38"/>
      <c r="C755" s="38"/>
      <c r="D755" s="38"/>
      <c r="F755" s="38"/>
    </row>
    <row r="756">
      <c r="A756" s="38"/>
      <c r="B756" s="38"/>
      <c r="C756" s="38"/>
      <c r="D756" s="38"/>
      <c r="F756" s="38"/>
    </row>
    <row r="757">
      <c r="A757" s="38"/>
      <c r="B757" s="38"/>
      <c r="C757" s="38"/>
      <c r="D757" s="38"/>
      <c r="F757" s="38"/>
    </row>
    <row r="758">
      <c r="A758" s="38"/>
      <c r="B758" s="38"/>
      <c r="C758" s="38"/>
      <c r="D758" s="38"/>
      <c r="F758" s="38"/>
    </row>
    <row r="759">
      <c r="A759" s="38"/>
      <c r="B759" s="38"/>
      <c r="C759" s="38"/>
      <c r="D759" s="38"/>
      <c r="F759" s="38"/>
    </row>
    <row r="760">
      <c r="A760" s="38"/>
      <c r="B760" s="38"/>
      <c r="C760" s="38"/>
      <c r="D760" s="38"/>
      <c r="F760" s="38"/>
    </row>
    <row r="761">
      <c r="A761" s="38"/>
      <c r="B761" s="38"/>
      <c r="C761" s="38"/>
      <c r="D761" s="38"/>
      <c r="F761" s="38"/>
    </row>
    <row r="762">
      <c r="A762" s="38"/>
      <c r="B762" s="38"/>
      <c r="C762" s="38"/>
      <c r="D762" s="38"/>
      <c r="F762" s="38"/>
    </row>
    <row r="763">
      <c r="A763" s="38"/>
      <c r="B763" s="38"/>
      <c r="C763" s="38"/>
      <c r="D763" s="38"/>
      <c r="F763" s="38"/>
    </row>
    <row r="764">
      <c r="A764" s="38"/>
      <c r="B764" s="38"/>
      <c r="C764" s="38"/>
      <c r="D764" s="38"/>
      <c r="F764" s="38"/>
    </row>
    <row r="765">
      <c r="A765" s="38"/>
      <c r="B765" s="38"/>
      <c r="C765" s="38"/>
      <c r="D765" s="38"/>
      <c r="F765" s="38"/>
    </row>
    <row r="766">
      <c r="A766" s="38"/>
      <c r="B766" s="38"/>
      <c r="C766" s="38"/>
      <c r="D766" s="38"/>
      <c r="F766" s="38"/>
    </row>
    <row r="767">
      <c r="A767" s="38"/>
      <c r="B767" s="38"/>
      <c r="C767" s="38"/>
      <c r="D767" s="38"/>
      <c r="F767" s="38"/>
    </row>
    <row r="768">
      <c r="A768" s="38"/>
      <c r="B768" s="38"/>
      <c r="C768" s="38"/>
      <c r="D768" s="38"/>
      <c r="F768" s="38"/>
    </row>
    <row r="769">
      <c r="A769" s="38"/>
      <c r="B769" s="38"/>
      <c r="C769" s="38"/>
      <c r="D769" s="38"/>
      <c r="F769" s="38"/>
    </row>
    <row r="770">
      <c r="A770" s="38"/>
      <c r="B770" s="38"/>
      <c r="C770" s="38"/>
      <c r="D770" s="38"/>
      <c r="F770" s="38"/>
    </row>
    <row r="771">
      <c r="A771" s="38"/>
      <c r="B771" s="38"/>
      <c r="C771" s="38"/>
      <c r="D771" s="38"/>
      <c r="F771" s="38"/>
    </row>
    <row r="772">
      <c r="A772" s="38"/>
      <c r="B772" s="38"/>
      <c r="C772" s="38"/>
      <c r="D772" s="38"/>
      <c r="F772" s="38"/>
    </row>
    <row r="773">
      <c r="A773" s="38"/>
      <c r="B773" s="38"/>
      <c r="C773" s="38"/>
      <c r="D773" s="38"/>
      <c r="F773" s="38"/>
    </row>
    <row r="774">
      <c r="A774" s="38"/>
      <c r="B774" s="38"/>
      <c r="C774" s="38"/>
      <c r="D774" s="38"/>
      <c r="F774" s="38"/>
    </row>
    <row r="775">
      <c r="A775" s="38"/>
      <c r="B775" s="38"/>
      <c r="C775" s="38"/>
      <c r="D775" s="38"/>
      <c r="F775" s="38"/>
    </row>
    <row r="776">
      <c r="A776" s="38"/>
      <c r="B776" s="38"/>
      <c r="C776" s="38"/>
      <c r="D776" s="38"/>
      <c r="F776" s="38"/>
    </row>
    <row r="777">
      <c r="A777" s="38"/>
      <c r="B777" s="38"/>
      <c r="C777" s="38"/>
      <c r="D777" s="38"/>
      <c r="F777" s="38"/>
    </row>
    <row r="778">
      <c r="A778" s="38"/>
      <c r="B778" s="38"/>
      <c r="C778" s="38"/>
      <c r="D778" s="38"/>
      <c r="F778" s="38"/>
    </row>
    <row r="779">
      <c r="A779" s="38"/>
      <c r="B779" s="38"/>
      <c r="C779" s="38"/>
      <c r="D779" s="38"/>
      <c r="F779" s="38"/>
    </row>
    <row r="780">
      <c r="A780" s="38"/>
      <c r="B780" s="38"/>
      <c r="C780" s="38"/>
      <c r="D780" s="38"/>
      <c r="F780" s="38"/>
    </row>
    <row r="781">
      <c r="A781" s="38"/>
      <c r="B781" s="38"/>
      <c r="C781" s="38"/>
      <c r="D781" s="38"/>
      <c r="F781" s="38"/>
    </row>
    <row r="782">
      <c r="A782" s="38"/>
      <c r="B782" s="38"/>
      <c r="C782" s="38"/>
      <c r="D782" s="38"/>
      <c r="F782" s="38"/>
    </row>
    <row r="783">
      <c r="A783" s="38"/>
      <c r="B783" s="38"/>
      <c r="C783" s="38"/>
      <c r="D783" s="38"/>
      <c r="F783" s="38"/>
    </row>
    <row r="784">
      <c r="A784" s="38"/>
      <c r="B784" s="38"/>
      <c r="C784" s="38"/>
      <c r="D784" s="38"/>
      <c r="F784" s="38"/>
    </row>
    <row r="785">
      <c r="A785" s="38"/>
      <c r="B785" s="38"/>
      <c r="C785" s="38"/>
      <c r="D785" s="38"/>
      <c r="F785" s="38"/>
    </row>
    <row r="786">
      <c r="A786" s="38"/>
      <c r="B786" s="38"/>
      <c r="C786" s="38"/>
      <c r="D786" s="38"/>
      <c r="F786" s="38"/>
    </row>
    <row r="787">
      <c r="A787" s="38"/>
      <c r="B787" s="38"/>
      <c r="C787" s="38"/>
      <c r="D787" s="38"/>
      <c r="F787" s="38"/>
    </row>
    <row r="788">
      <c r="A788" s="38"/>
      <c r="B788" s="38"/>
      <c r="C788" s="38"/>
      <c r="D788" s="38"/>
      <c r="F788" s="38"/>
    </row>
    <row r="789">
      <c r="A789" s="38"/>
      <c r="B789" s="38"/>
      <c r="C789" s="38"/>
      <c r="D789" s="38"/>
      <c r="F789" s="38"/>
    </row>
    <row r="790">
      <c r="A790" s="38"/>
      <c r="B790" s="38"/>
      <c r="C790" s="38"/>
      <c r="D790" s="38"/>
      <c r="F790" s="38"/>
    </row>
    <row r="791">
      <c r="A791" s="38"/>
      <c r="B791" s="38"/>
      <c r="C791" s="38"/>
      <c r="D791" s="38"/>
      <c r="F791" s="38"/>
    </row>
    <row r="792">
      <c r="A792" s="38"/>
      <c r="B792" s="38"/>
      <c r="C792" s="38"/>
      <c r="D792" s="38"/>
      <c r="F792" s="38"/>
    </row>
    <row r="793">
      <c r="A793" s="38"/>
      <c r="B793" s="38"/>
      <c r="C793" s="38"/>
      <c r="D793" s="38"/>
      <c r="F793" s="38"/>
    </row>
    <row r="794">
      <c r="A794" s="38"/>
      <c r="B794" s="38"/>
      <c r="C794" s="38"/>
      <c r="D794" s="38"/>
      <c r="F794" s="38"/>
    </row>
    <row r="795">
      <c r="A795" s="38"/>
      <c r="B795" s="38"/>
      <c r="C795" s="38"/>
      <c r="D795" s="38"/>
      <c r="F795" s="38"/>
    </row>
    <row r="796">
      <c r="A796" s="38"/>
      <c r="B796" s="38"/>
      <c r="C796" s="38"/>
      <c r="D796" s="38"/>
      <c r="F796" s="38"/>
    </row>
    <row r="797">
      <c r="A797" s="38"/>
      <c r="B797" s="38"/>
      <c r="C797" s="38"/>
      <c r="D797" s="38"/>
      <c r="F797" s="38"/>
    </row>
    <row r="798">
      <c r="A798" s="38"/>
      <c r="B798" s="38"/>
      <c r="C798" s="38"/>
      <c r="D798" s="38"/>
      <c r="F798" s="38"/>
    </row>
    <row r="799">
      <c r="A799" s="38"/>
      <c r="B799" s="38"/>
      <c r="C799" s="38"/>
      <c r="D799" s="38"/>
      <c r="F799" s="38"/>
    </row>
    <row r="800">
      <c r="A800" s="38"/>
      <c r="B800" s="38"/>
      <c r="C800" s="38"/>
      <c r="D800" s="38"/>
      <c r="F800" s="38"/>
    </row>
    <row r="801">
      <c r="A801" s="38"/>
      <c r="B801" s="38"/>
      <c r="C801" s="38"/>
      <c r="D801" s="38"/>
      <c r="F801" s="38"/>
    </row>
    <row r="802">
      <c r="A802" s="38"/>
      <c r="B802" s="38"/>
      <c r="C802" s="38"/>
      <c r="D802" s="38"/>
      <c r="F802" s="38"/>
    </row>
    <row r="803">
      <c r="A803" s="38"/>
      <c r="B803" s="38"/>
      <c r="C803" s="38"/>
      <c r="D803" s="38"/>
      <c r="F803" s="38"/>
    </row>
    <row r="804">
      <c r="A804" s="38"/>
      <c r="B804" s="38"/>
      <c r="C804" s="38"/>
      <c r="D804" s="38"/>
      <c r="F804" s="38"/>
    </row>
    <row r="805">
      <c r="A805" s="38"/>
      <c r="B805" s="38"/>
      <c r="C805" s="38"/>
      <c r="D805" s="38"/>
      <c r="F805" s="38"/>
    </row>
    <row r="806">
      <c r="A806" s="38"/>
      <c r="B806" s="38"/>
      <c r="C806" s="38"/>
      <c r="D806" s="38"/>
      <c r="F806" s="38"/>
    </row>
    <row r="807">
      <c r="A807" s="38"/>
      <c r="B807" s="38"/>
      <c r="C807" s="38"/>
      <c r="D807" s="38"/>
      <c r="F807" s="38"/>
    </row>
    <row r="808">
      <c r="A808" s="38"/>
      <c r="B808" s="38"/>
      <c r="C808" s="38"/>
      <c r="D808" s="38"/>
      <c r="F808" s="38"/>
    </row>
    <row r="809">
      <c r="A809" s="38"/>
      <c r="B809" s="38"/>
      <c r="C809" s="38"/>
      <c r="D809" s="38"/>
      <c r="F809" s="38"/>
    </row>
    <row r="810">
      <c r="A810" s="38"/>
      <c r="B810" s="38"/>
      <c r="C810" s="38"/>
      <c r="D810" s="38"/>
      <c r="F810" s="38"/>
    </row>
    <row r="811">
      <c r="A811" s="38"/>
      <c r="B811" s="38"/>
      <c r="C811" s="38"/>
      <c r="D811" s="38"/>
      <c r="F811" s="38"/>
    </row>
    <row r="812">
      <c r="A812" s="38"/>
      <c r="B812" s="38"/>
      <c r="C812" s="38"/>
      <c r="D812" s="38"/>
      <c r="F812" s="38"/>
    </row>
    <row r="813">
      <c r="A813" s="38"/>
      <c r="B813" s="38"/>
      <c r="C813" s="38"/>
      <c r="D813" s="38"/>
      <c r="F813" s="38"/>
    </row>
    <row r="814">
      <c r="A814" s="38"/>
      <c r="B814" s="38"/>
      <c r="C814" s="38"/>
      <c r="D814" s="38"/>
      <c r="F814" s="38"/>
    </row>
    <row r="815">
      <c r="A815" s="38"/>
      <c r="B815" s="38"/>
      <c r="C815" s="38"/>
      <c r="D815" s="38"/>
      <c r="F815" s="38"/>
    </row>
    <row r="816">
      <c r="A816" s="38"/>
      <c r="B816" s="38"/>
      <c r="C816" s="38"/>
      <c r="D816" s="38"/>
      <c r="F816" s="38"/>
    </row>
    <row r="817">
      <c r="A817" s="38"/>
      <c r="B817" s="38"/>
      <c r="C817" s="38"/>
      <c r="D817" s="38"/>
      <c r="F817" s="38"/>
    </row>
    <row r="818">
      <c r="A818" s="38"/>
      <c r="B818" s="38"/>
      <c r="C818" s="38"/>
      <c r="D818" s="38"/>
      <c r="F818" s="38"/>
    </row>
    <row r="819">
      <c r="A819" s="38"/>
      <c r="B819" s="38"/>
      <c r="C819" s="38"/>
      <c r="D819" s="38"/>
      <c r="F819" s="38"/>
    </row>
    <row r="820">
      <c r="A820" s="38"/>
      <c r="B820" s="38"/>
      <c r="C820" s="38"/>
      <c r="D820" s="38"/>
      <c r="F820" s="38"/>
    </row>
    <row r="821">
      <c r="A821" s="38"/>
      <c r="B821" s="38"/>
      <c r="C821" s="38"/>
      <c r="D821" s="38"/>
      <c r="F821" s="38"/>
    </row>
    <row r="822">
      <c r="A822" s="38"/>
      <c r="B822" s="38"/>
      <c r="C822" s="38"/>
      <c r="D822" s="38"/>
      <c r="F822" s="38"/>
    </row>
    <row r="823">
      <c r="A823" s="38"/>
      <c r="B823" s="38"/>
      <c r="C823" s="38"/>
      <c r="D823" s="38"/>
      <c r="F823" s="38"/>
    </row>
    <row r="824">
      <c r="A824" s="38"/>
      <c r="B824" s="38"/>
      <c r="C824" s="38"/>
      <c r="D824" s="38"/>
      <c r="F824" s="38"/>
    </row>
    <row r="825">
      <c r="A825" s="38"/>
      <c r="B825" s="38"/>
      <c r="C825" s="38"/>
      <c r="D825" s="38"/>
      <c r="F825" s="38"/>
    </row>
    <row r="826">
      <c r="A826" s="38"/>
      <c r="B826" s="38"/>
      <c r="C826" s="38"/>
      <c r="D826" s="38"/>
      <c r="F826" s="38"/>
    </row>
    <row r="827">
      <c r="A827" s="38"/>
      <c r="B827" s="38"/>
      <c r="C827" s="38"/>
      <c r="D827" s="38"/>
      <c r="F827" s="38"/>
    </row>
    <row r="828">
      <c r="A828" s="38"/>
      <c r="B828" s="38"/>
      <c r="C828" s="38"/>
      <c r="D828" s="38"/>
      <c r="F828" s="38"/>
    </row>
    <row r="829">
      <c r="A829" s="38"/>
      <c r="B829" s="38"/>
      <c r="C829" s="38"/>
      <c r="D829" s="38"/>
      <c r="F829" s="38"/>
    </row>
    <row r="830">
      <c r="A830" s="38"/>
      <c r="B830" s="38"/>
      <c r="C830" s="38"/>
      <c r="D830" s="38"/>
      <c r="F830" s="38"/>
    </row>
    <row r="831">
      <c r="A831" s="38"/>
      <c r="B831" s="38"/>
      <c r="C831" s="38"/>
      <c r="D831" s="38"/>
      <c r="F831" s="38"/>
    </row>
    <row r="832">
      <c r="A832" s="38"/>
      <c r="B832" s="38"/>
      <c r="C832" s="38"/>
      <c r="D832" s="38"/>
      <c r="F832" s="38"/>
    </row>
    <row r="833">
      <c r="A833" s="38"/>
      <c r="B833" s="38"/>
      <c r="C833" s="38"/>
      <c r="D833" s="38"/>
      <c r="F833" s="38"/>
    </row>
    <row r="834">
      <c r="A834" s="38"/>
      <c r="B834" s="38"/>
      <c r="C834" s="38"/>
      <c r="D834" s="38"/>
      <c r="F834" s="38"/>
    </row>
    <row r="835">
      <c r="A835" s="38"/>
      <c r="B835" s="38"/>
      <c r="C835" s="38"/>
      <c r="D835" s="38"/>
      <c r="F835" s="38"/>
    </row>
    <row r="836">
      <c r="A836" s="38"/>
      <c r="B836" s="38"/>
      <c r="C836" s="38"/>
      <c r="D836" s="38"/>
      <c r="F836" s="38"/>
    </row>
    <row r="837">
      <c r="A837" s="38"/>
      <c r="B837" s="38"/>
      <c r="C837" s="38"/>
      <c r="D837" s="38"/>
      <c r="F837" s="38"/>
    </row>
    <row r="838">
      <c r="A838" s="38"/>
      <c r="B838" s="38"/>
      <c r="C838" s="38"/>
      <c r="D838" s="38"/>
      <c r="F838" s="38"/>
    </row>
    <row r="839">
      <c r="A839" s="38"/>
      <c r="B839" s="38"/>
      <c r="C839" s="38"/>
      <c r="D839" s="38"/>
      <c r="F839" s="38"/>
    </row>
    <row r="840">
      <c r="A840" s="38"/>
      <c r="B840" s="38"/>
      <c r="C840" s="38"/>
      <c r="D840" s="38"/>
      <c r="F840" s="38"/>
    </row>
    <row r="841">
      <c r="A841" s="38"/>
      <c r="B841" s="38"/>
      <c r="C841" s="38"/>
      <c r="D841" s="38"/>
      <c r="F841" s="38"/>
    </row>
    <row r="842">
      <c r="A842" s="38"/>
      <c r="B842" s="38"/>
      <c r="C842" s="38"/>
      <c r="D842" s="38"/>
      <c r="F842" s="38"/>
    </row>
    <row r="843">
      <c r="A843" s="38"/>
      <c r="B843" s="38"/>
      <c r="C843" s="38"/>
      <c r="D843" s="38"/>
      <c r="F843" s="38"/>
    </row>
    <row r="844">
      <c r="A844" s="38"/>
      <c r="B844" s="38"/>
      <c r="C844" s="38"/>
      <c r="D844" s="38"/>
      <c r="F844" s="38"/>
    </row>
    <row r="845">
      <c r="A845" s="38"/>
      <c r="B845" s="38"/>
      <c r="C845" s="38"/>
      <c r="D845" s="38"/>
      <c r="F845" s="38"/>
    </row>
    <row r="846">
      <c r="A846" s="38"/>
      <c r="B846" s="38"/>
      <c r="C846" s="38"/>
      <c r="D846" s="38"/>
      <c r="F846" s="38"/>
    </row>
    <row r="847">
      <c r="A847" s="38"/>
      <c r="B847" s="38"/>
      <c r="C847" s="38"/>
      <c r="D847" s="38"/>
      <c r="F847" s="38"/>
    </row>
    <row r="848">
      <c r="A848" s="38"/>
      <c r="B848" s="38"/>
      <c r="C848" s="38"/>
      <c r="D848" s="38"/>
      <c r="F848" s="38"/>
    </row>
    <row r="849">
      <c r="A849" s="38"/>
      <c r="B849" s="38"/>
      <c r="C849" s="38"/>
      <c r="D849" s="38"/>
      <c r="F849" s="38"/>
    </row>
    <row r="850">
      <c r="A850" s="38"/>
      <c r="B850" s="38"/>
      <c r="C850" s="38"/>
      <c r="D850" s="38"/>
      <c r="F850" s="38"/>
    </row>
    <row r="851">
      <c r="A851" s="38"/>
      <c r="B851" s="38"/>
      <c r="C851" s="38"/>
      <c r="D851" s="38"/>
      <c r="F851" s="38"/>
    </row>
    <row r="852">
      <c r="A852" s="38"/>
      <c r="B852" s="38"/>
      <c r="C852" s="38"/>
      <c r="D852" s="38"/>
      <c r="F852" s="38"/>
    </row>
    <row r="853">
      <c r="A853" s="38"/>
      <c r="B853" s="38"/>
      <c r="C853" s="38"/>
      <c r="D853" s="38"/>
      <c r="F853" s="38"/>
    </row>
    <row r="854">
      <c r="A854" s="38"/>
      <c r="B854" s="38"/>
      <c r="C854" s="38"/>
      <c r="D854" s="38"/>
      <c r="F854" s="38"/>
    </row>
    <row r="855">
      <c r="A855" s="38"/>
      <c r="B855" s="38"/>
      <c r="C855" s="38"/>
      <c r="D855" s="38"/>
      <c r="F855" s="38"/>
    </row>
    <row r="856">
      <c r="A856" s="38"/>
      <c r="B856" s="38"/>
      <c r="C856" s="38"/>
      <c r="D856" s="38"/>
      <c r="F856" s="38"/>
    </row>
    <row r="857">
      <c r="A857" s="38"/>
      <c r="B857" s="38"/>
      <c r="C857" s="38"/>
      <c r="D857" s="38"/>
      <c r="F857" s="38"/>
    </row>
    <row r="858">
      <c r="A858" s="38"/>
      <c r="B858" s="38"/>
      <c r="C858" s="38"/>
      <c r="D858" s="38"/>
      <c r="F858" s="38"/>
    </row>
    <row r="859">
      <c r="A859" s="38"/>
      <c r="B859" s="38"/>
      <c r="C859" s="38"/>
      <c r="D859" s="38"/>
      <c r="F859" s="38"/>
    </row>
    <row r="860">
      <c r="A860" s="38"/>
      <c r="B860" s="38"/>
      <c r="C860" s="38"/>
      <c r="D860" s="38"/>
      <c r="F860" s="38"/>
    </row>
    <row r="861">
      <c r="A861" s="38"/>
      <c r="B861" s="38"/>
      <c r="C861" s="38"/>
      <c r="D861" s="38"/>
      <c r="F861" s="38"/>
    </row>
    <row r="862">
      <c r="A862" s="38"/>
      <c r="B862" s="38"/>
      <c r="C862" s="38"/>
      <c r="D862" s="38"/>
      <c r="F862" s="38"/>
    </row>
    <row r="863">
      <c r="A863" s="38"/>
      <c r="B863" s="38"/>
      <c r="C863" s="38"/>
      <c r="D863" s="38"/>
      <c r="F863" s="38"/>
    </row>
    <row r="864">
      <c r="A864" s="38"/>
      <c r="B864" s="38"/>
      <c r="C864" s="38"/>
      <c r="D864" s="38"/>
      <c r="F864" s="38"/>
    </row>
    <row r="865">
      <c r="A865" s="38"/>
      <c r="B865" s="38"/>
      <c r="C865" s="38"/>
      <c r="D865" s="38"/>
      <c r="F865" s="38"/>
    </row>
    <row r="866">
      <c r="A866" s="38"/>
      <c r="B866" s="38"/>
      <c r="C866" s="38"/>
      <c r="D866" s="38"/>
      <c r="F866" s="38"/>
    </row>
    <row r="867">
      <c r="A867" s="38"/>
      <c r="B867" s="38"/>
      <c r="C867" s="38"/>
      <c r="D867" s="38"/>
      <c r="F867" s="38"/>
    </row>
    <row r="868">
      <c r="A868" s="38"/>
      <c r="B868" s="38"/>
      <c r="C868" s="38"/>
      <c r="D868" s="38"/>
      <c r="F868" s="38"/>
    </row>
    <row r="869">
      <c r="A869" s="38"/>
      <c r="B869" s="38"/>
      <c r="C869" s="38"/>
      <c r="D869" s="38"/>
      <c r="F869" s="38"/>
    </row>
    <row r="870">
      <c r="A870" s="38"/>
      <c r="B870" s="38"/>
      <c r="C870" s="38"/>
      <c r="D870" s="38"/>
      <c r="F870" s="38"/>
    </row>
    <row r="871">
      <c r="A871" s="38"/>
      <c r="B871" s="38"/>
      <c r="C871" s="38"/>
      <c r="D871" s="38"/>
      <c r="F871" s="38"/>
    </row>
    <row r="872">
      <c r="A872" s="38"/>
      <c r="B872" s="38"/>
      <c r="C872" s="38"/>
      <c r="D872" s="38"/>
      <c r="F872" s="38"/>
    </row>
    <row r="873">
      <c r="A873" s="38"/>
      <c r="B873" s="38"/>
      <c r="C873" s="38"/>
      <c r="D873" s="38"/>
      <c r="F873" s="38"/>
    </row>
    <row r="874">
      <c r="A874" s="38"/>
      <c r="B874" s="38"/>
      <c r="C874" s="38"/>
      <c r="D874" s="38"/>
      <c r="F874" s="38"/>
    </row>
    <row r="875">
      <c r="A875" s="38"/>
      <c r="B875" s="38"/>
      <c r="C875" s="38"/>
      <c r="D875" s="38"/>
      <c r="F875" s="38"/>
    </row>
    <row r="876">
      <c r="A876" s="38"/>
      <c r="B876" s="38"/>
      <c r="C876" s="38"/>
      <c r="D876" s="38"/>
      <c r="F876" s="38"/>
    </row>
    <row r="877">
      <c r="A877" s="38"/>
      <c r="B877" s="38"/>
      <c r="C877" s="38"/>
      <c r="D877" s="38"/>
      <c r="F877" s="38"/>
    </row>
    <row r="878">
      <c r="A878" s="38"/>
      <c r="B878" s="38"/>
      <c r="C878" s="38"/>
      <c r="D878" s="38"/>
      <c r="F878" s="38"/>
    </row>
    <row r="879">
      <c r="A879" s="38"/>
      <c r="B879" s="38"/>
      <c r="C879" s="38"/>
      <c r="D879" s="38"/>
      <c r="F879" s="38"/>
    </row>
    <row r="880">
      <c r="A880" s="38"/>
      <c r="B880" s="38"/>
      <c r="C880" s="38"/>
      <c r="D880" s="38"/>
      <c r="F880" s="38"/>
    </row>
    <row r="881">
      <c r="A881" s="38"/>
      <c r="B881" s="38"/>
      <c r="C881" s="38"/>
      <c r="D881" s="38"/>
      <c r="F881" s="38"/>
    </row>
    <row r="882">
      <c r="A882" s="38"/>
      <c r="B882" s="38"/>
      <c r="C882" s="38"/>
      <c r="D882" s="38"/>
      <c r="F882" s="38"/>
    </row>
    <row r="883">
      <c r="A883" s="38"/>
      <c r="B883" s="38"/>
      <c r="C883" s="38"/>
      <c r="D883" s="38"/>
      <c r="F883" s="38"/>
    </row>
    <row r="884">
      <c r="A884" s="38"/>
      <c r="B884" s="38"/>
      <c r="C884" s="38"/>
      <c r="D884" s="38"/>
      <c r="F884" s="38"/>
    </row>
    <row r="885">
      <c r="A885" s="38"/>
      <c r="B885" s="38"/>
      <c r="C885" s="38"/>
      <c r="D885" s="38"/>
      <c r="F885" s="38"/>
    </row>
    <row r="886">
      <c r="A886" s="38"/>
      <c r="B886" s="38"/>
      <c r="C886" s="38"/>
      <c r="D886" s="38"/>
      <c r="F886" s="38"/>
    </row>
    <row r="887">
      <c r="A887" s="38"/>
      <c r="B887" s="38"/>
      <c r="C887" s="38"/>
      <c r="D887" s="38"/>
      <c r="F887" s="38"/>
    </row>
    <row r="888">
      <c r="A888" s="38"/>
      <c r="B888" s="38"/>
      <c r="C888" s="38"/>
      <c r="D888" s="38"/>
      <c r="F888" s="38"/>
    </row>
    <row r="889">
      <c r="A889" s="38"/>
      <c r="B889" s="38"/>
      <c r="C889" s="38"/>
      <c r="D889" s="38"/>
      <c r="F889" s="38"/>
    </row>
    <row r="890">
      <c r="A890" s="38"/>
      <c r="B890" s="38"/>
      <c r="C890" s="38"/>
      <c r="D890" s="38"/>
      <c r="F890" s="38"/>
    </row>
    <row r="891">
      <c r="A891" s="38"/>
      <c r="B891" s="38"/>
      <c r="C891" s="38"/>
      <c r="D891" s="38"/>
      <c r="F891" s="38"/>
    </row>
    <row r="892">
      <c r="A892" s="38"/>
      <c r="B892" s="38"/>
      <c r="C892" s="38"/>
      <c r="D892" s="38"/>
      <c r="F892" s="38"/>
    </row>
    <row r="893">
      <c r="A893" s="38"/>
      <c r="B893" s="38"/>
      <c r="C893" s="38"/>
      <c r="D893" s="38"/>
      <c r="F893" s="38"/>
    </row>
    <row r="894">
      <c r="A894" s="38"/>
      <c r="B894" s="38"/>
      <c r="C894" s="38"/>
      <c r="D894" s="38"/>
      <c r="F894" s="38"/>
    </row>
    <row r="895">
      <c r="A895" s="38"/>
      <c r="B895" s="38"/>
      <c r="C895" s="38"/>
      <c r="D895" s="38"/>
      <c r="F895" s="38"/>
    </row>
    <row r="896">
      <c r="A896" s="38"/>
      <c r="B896" s="38"/>
      <c r="C896" s="38"/>
      <c r="D896" s="38"/>
      <c r="F896" s="38"/>
    </row>
    <row r="897">
      <c r="A897" s="38"/>
      <c r="B897" s="38"/>
      <c r="C897" s="38"/>
      <c r="D897" s="38"/>
      <c r="F897" s="38"/>
    </row>
    <row r="898">
      <c r="A898" s="38"/>
      <c r="B898" s="38"/>
      <c r="C898" s="38"/>
      <c r="D898" s="38"/>
      <c r="F898" s="38"/>
    </row>
    <row r="899">
      <c r="A899" s="38"/>
      <c r="B899" s="38"/>
      <c r="C899" s="38"/>
      <c r="D899" s="38"/>
      <c r="F899" s="38"/>
    </row>
    <row r="900">
      <c r="A900" s="38"/>
      <c r="B900" s="38"/>
      <c r="C900" s="38"/>
      <c r="D900" s="38"/>
      <c r="F900" s="38"/>
    </row>
    <row r="901">
      <c r="A901" s="38"/>
      <c r="B901" s="38"/>
      <c r="C901" s="38"/>
      <c r="D901" s="38"/>
      <c r="F901" s="38"/>
    </row>
    <row r="902">
      <c r="A902" s="38"/>
      <c r="B902" s="38"/>
      <c r="C902" s="38"/>
      <c r="D902" s="38"/>
      <c r="F902" s="38"/>
    </row>
    <row r="903">
      <c r="A903" s="38"/>
      <c r="B903" s="38"/>
      <c r="C903" s="38"/>
      <c r="D903" s="38"/>
      <c r="F903" s="38"/>
    </row>
    <row r="904">
      <c r="A904" s="38"/>
      <c r="B904" s="38"/>
      <c r="C904" s="38"/>
      <c r="D904" s="38"/>
      <c r="F904" s="38"/>
    </row>
    <row r="905">
      <c r="A905" s="38"/>
      <c r="B905" s="38"/>
      <c r="C905" s="38"/>
      <c r="D905" s="38"/>
      <c r="F905" s="38"/>
    </row>
    <row r="906">
      <c r="A906" s="38"/>
      <c r="B906" s="38"/>
      <c r="C906" s="38"/>
      <c r="D906" s="38"/>
      <c r="F906" s="38"/>
    </row>
    <row r="907">
      <c r="A907" s="38"/>
      <c r="B907" s="38"/>
      <c r="C907" s="38"/>
      <c r="D907" s="38"/>
      <c r="F907" s="38"/>
    </row>
    <row r="908">
      <c r="A908" s="38"/>
      <c r="B908" s="38"/>
      <c r="C908" s="38"/>
      <c r="D908" s="38"/>
      <c r="F908" s="38"/>
    </row>
    <row r="909">
      <c r="A909" s="38"/>
      <c r="B909" s="38"/>
      <c r="C909" s="38"/>
      <c r="D909" s="38"/>
      <c r="F909" s="38"/>
    </row>
    <row r="910">
      <c r="A910" s="38"/>
      <c r="B910" s="38"/>
      <c r="C910" s="38"/>
      <c r="D910" s="38"/>
      <c r="F910" s="38"/>
    </row>
    <row r="911">
      <c r="A911" s="38"/>
      <c r="B911" s="38"/>
      <c r="C911" s="38"/>
      <c r="D911" s="38"/>
      <c r="F911" s="38"/>
    </row>
    <row r="912">
      <c r="A912" s="38"/>
      <c r="B912" s="38"/>
      <c r="C912" s="38"/>
      <c r="D912" s="38"/>
      <c r="F912" s="38"/>
    </row>
    <row r="913">
      <c r="A913" s="38"/>
      <c r="B913" s="38"/>
      <c r="C913" s="38"/>
      <c r="D913" s="38"/>
      <c r="F913" s="38"/>
    </row>
    <row r="914">
      <c r="A914" s="38"/>
      <c r="B914" s="38"/>
      <c r="C914" s="38"/>
      <c r="D914" s="38"/>
      <c r="F914" s="38"/>
    </row>
    <row r="915">
      <c r="A915" s="38"/>
      <c r="B915" s="38"/>
      <c r="C915" s="38"/>
      <c r="D915" s="38"/>
      <c r="F915" s="38"/>
    </row>
    <row r="916">
      <c r="A916" s="38"/>
      <c r="B916" s="38"/>
      <c r="C916" s="38"/>
      <c r="D916" s="38"/>
      <c r="F916" s="38"/>
    </row>
    <row r="917">
      <c r="A917" s="38"/>
      <c r="B917" s="38"/>
      <c r="C917" s="38"/>
      <c r="D917" s="38"/>
      <c r="F917" s="38"/>
    </row>
    <row r="918">
      <c r="A918" s="38"/>
      <c r="B918" s="38"/>
      <c r="C918" s="38"/>
      <c r="D918" s="38"/>
      <c r="F918" s="38"/>
    </row>
    <row r="919">
      <c r="A919" s="38"/>
      <c r="B919" s="38"/>
      <c r="C919" s="38"/>
      <c r="D919" s="38"/>
      <c r="F919" s="38"/>
    </row>
    <row r="920">
      <c r="A920" s="38"/>
      <c r="B920" s="38"/>
      <c r="C920" s="38"/>
      <c r="D920" s="38"/>
      <c r="F920" s="38"/>
    </row>
    <row r="921">
      <c r="A921" s="38"/>
      <c r="B921" s="38"/>
      <c r="C921" s="38"/>
      <c r="D921" s="38"/>
      <c r="F921" s="38"/>
    </row>
    <row r="922">
      <c r="A922" s="38"/>
      <c r="B922" s="38"/>
      <c r="C922" s="38"/>
      <c r="D922" s="38"/>
      <c r="F922" s="38"/>
    </row>
    <row r="923">
      <c r="A923" s="38"/>
      <c r="B923" s="38"/>
      <c r="C923" s="38"/>
      <c r="D923" s="38"/>
      <c r="F923" s="38"/>
    </row>
    <row r="924">
      <c r="A924" s="38"/>
      <c r="B924" s="38"/>
      <c r="C924" s="38"/>
      <c r="D924" s="38"/>
      <c r="F924" s="38"/>
    </row>
    <row r="925">
      <c r="A925" s="38"/>
      <c r="B925" s="38"/>
      <c r="C925" s="38"/>
      <c r="D925" s="38"/>
      <c r="F925" s="38"/>
    </row>
    <row r="926">
      <c r="A926" s="38"/>
      <c r="B926" s="38"/>
      <c r="C926" s="38"/>
      <c r="D926" s="38"/>
      <c r="F926" s="38"/>
    </row>
    <row r="927">
      <c r="A927" s="38"/>
      <c r="B927" s="38"/>
      <c r="C927" s="38"/>
      <c r="D927" s="38"/>
      <c r="F927" s="38"/>
    </row>
    <row r="928">
      <c r="A928" s="38"/>
      <c r="B928" s="38"/>
      <c r="C928" s="38"/>
      <c r="D928" s="38"/>
      <c r="F928" s="38"/>
    </row>
    <row r="929">
      <c r="A929" s="38"/>
      <c r="B929" s="38"/>
      <c r="C929" s="38"/>
      <c r="D929" s="38"/>
      <c r="F929" s="38"/>
    </row>
    <row r="930">
      <c r="A930" s="38"/>
      <c r="B930" s="38"/>
      <c r="C930" s="38"/>
      <c r="D930" s="38"/>
      <c r="F930" s="38"/>
    </row>
    <row r="931">
      <c r="A931" s="38"/>
      <c r="B931" s="38"/>
      <c r="C931" s="38"/>
      <c r="D931" s="38"/>
      <c r="F931" s="38"/>
    </row>
    <row r="932">
      <c r="A932" s="38"/>
      <c r="B932" s="38"/>
      <c r="C932" s="38"/>
      <c r="D932" s="38"/>
      <c r="F932" s="38"/>
    </row>
    <row r="933">
      <c r="A933" s="38"/>
      <c r="B933" s="38"/>
      <c r="C933" s="38"/>
      <c r="D933" s="38"/>
      <c r="F933" s="38"/>
    </row>
    <row r="934">
      <c r="A934" s="38"/>
      <c r="B934" s="38"/>
      <c r="C934" s="38"/>
      <c r="D934" s="38"/>
      <c r="F934" s="38"/>
    </row>
    <row r="935">
      <c r="A935" s="38"/>
      <c r="B935" s="38"/>
      <c r="C935" s="38"/>
      <c r="D935" s="38"/>
      <c r="F935" s="38"/>
    </row>
    <row r="936">
      <c r="A936" s="38"/>
      <c r="B936" s="38"/>
      <c r="C936" s="38"/>
      <c r="D936" s="38"/>
      <c r="F936" s="38"/>
    </row>
    <row r="937">
      <c r="A937" s="38"/>
      <c r="B937" s="38"/>
      <c r="C937" s="38"/>
      <c r="D937" s="38"/>
      <c r="F937" s="38"/>
    </row>
    <row r="938">
      <c r="A938" s="38"/>
      <c r="B938" s="38"/>
      <c r="C938" s="38"/>
      <c r="D938" s="38"/>
      <c r="F938" s="38"/>
    </row>
    <row r="939">
      <c r="A939" s="38"/>
      <c r="B939" s="38"/>
      <c r="C939" s="38"/>
      <c r="D939" s="38"/>
      <c r="F939" s="38"/>
    </row>
    <row r="940">
      <c r="A940" s="38"/>
      <c r="B940" s="38"/>
      <c r="C940" s="38"/>
      <c r="D940" s="38"/>
      <c r="F940" s="38"/>
    </row>
    <row r="941">
      <c r="A941" s="38"/>
      <c r="B941" s="38"/>
      <c r="C941" s="38"/>
      <c r="D941" s="38"/>
      <c r="F941" s="38"/>
    </row>
    <row r="942">
      <c r="A942" s="38"/>
      <c r="B942" s="38"/>
      <c r="C942" s="38"/>
      <c r="D942" s="38"/>
      <c r="F942" s="38"/>
    </row>
    <row r="943">
      <c r="A943" s="38"/>
      <c r="B943" s="38"/>
      <c r="C943" s="38"/>
      <c r="D943" s="38"/>
      <c r="F943" s="38"/>
    </row>
    <row r="944">
      <c r="A944" s="38"/>
      <c r="B944" s="38"/>
      <c r="C944" s="38"/>
      <c r="D944" s="38"/>
      <c r="F944" s="38"/>
    </row>
    <row r="945">
      <c r="A945" s="38"/>
      <c r="B945" s="38"/>
      <c r="C945" s="38"/>
      <c r="D945" s="38"/>
      <c r="F945" s="38"/>
    </row>
    <row r="946">
      <c r="A946" s="38"/>
      <c r="B946" s="38"/>
      <c r="C946" s="38"/>
      <c r="D946" s="38"/>
      <c r="F946" s="38"/>
    </row>
    <row r="947">
      <c r="A947" s="38"/>
      <c r="B947" s="38"/>
      <c r="C947" s="38"/>
      <c r="D947" s="38"/>
      <c r="F947" s="38"/>
    </row>
    <row r="948">
      <c r="A948" s="38"/>
      <c r="B948" s="38"/>
      <c r="C948" s="38"/>
      <c r="D948" s="38"/>
      <c r="F948" s="38"/>
    </row>
    <row r="949">
      <c r="A949" s="38"/>
      <c r="B949" s="38"/>
      <c r="C949" s="38"/>
      <c r="D949" s="38"/>
      <c r="F949" s="38"/>
    </row>
    <row r="950">
      <c r="A950" s="38"/>
      <c r="B950" s="38"/>
      <c r="C950" s="38"/>
      <c r="D950" s="38"/>
      <c r="F950" s="38"/>
    </row>
    <row r="951">
      <c r="A951" s="38"/>
      <c r="B951" s="38"/>
      <c r="C951" s="38"/>
      <c r="D951" s="38"/>
      <c r="F951" s="38"/>
    </row>
    <row r="952">
      <c r="A952" s="38"/>
      <c r="B952" s="38"/>
      <c r="C952" s="38"/>
      <c r="D952" s="38"/>
      <c r="F952" s="38"/>
    </row>
    <row r="953">
      <c r="A953" s="38"/>
      <c r="B953" s="38"/>
      <c r="C953" s="38"/>
      <c r="D953" s="38"/>
      <c r="F953" s="38"/>
    </row>
    <row r="954">
      <c r="A954" s="38"/>
      <c r="B954" s="38"/>
      <c r="C954" s="38"/>
      <c r="D954" s="38"/>
      <c r="F954" s="38"/>
    </row>
    <row r="955">
      <c r="A955" s="38"/>
      <c r="B955" s="38"/>
      <c r="C955" s="38"/>
      <c r="D955" s="38"/>
      <c r="F955" s="38"/>
    </row>
    <row r="956">
      <c r="A956" s="38"/>
      <c r="B956" s="38"/>
      <c r="C956" s="38"/>
      <c r="D956" s="38"/>
      <c r="F956" s="38"/>
    </row>
    <row r="957">
      <c r="A957" s="38"/>
      <c r="B957" s="38"/>
      <c r="C957" s="38"/>
      <c r="D957" s="38"/>
      <c r="F957" s="38"/>
    </row>
    <row r="958">
      <c r="A958" s="38"/>
      <c r="B958" s="38"/>
      <c r="C958" s="38"/>
      <c r="D958" s="38"/>
      <c r="F958" s="38"/>
    </row>
    <row r="959">
      <c r="A959" s="38"/>
      <c r="B959" s="38"/>
      <c r="C959" s="38"/>
      <c r="D959" s="38"/>
      <c r="F959" s="38"/>
    </row>
    <row r="960">
      <c r="A960" s="38"/>
      <c r="B960" s="38"/>
      <c r="C960" s="38"/>
      <c r="D960" s="38"/>
      <c r="F960" s="38"/>
    </row>
    <row r="961">
      <c r="A961" s="38"/>
      <c r="B961" s="38"/>
      <c r="C961" s="38"/>
      <c r="D961" s="38"/>
      <c r="F961" s="38"/>
    </row>
    <row r="962">
      <c r="A962" s="38"/>
      <c r="B962" s="38"/>
      <c r="C962" s="38"/>
      <c r="D962" s="38"/>
      <c r="F962" s="38"/>
    </row>
    <row r="963">
      <c r="A963" s="38"/>
      <c r="B963" s="38"/>
      <c r="C963" s="38"/>
      <c r="D963" s="38"/>
      <c r="F963" s="38"/>
    </row>
    <row r="964">
      <c r="A964" s="38"/>
      <c r="B964" s="38"/>
      <c r="C964" s="38"/>
      <c r="D964" s="38"/>
      <c r="F964" s="38"/>
    </row>
    <row r="965">
      <c r="A965" s="38"/>
      <c r="B965" s="38"/>
      <c r="C965" s="38"/>
      <c r="D965" s="38"/>
      <c r="F965" s="38"/>
    </row>
    <row r="966">
      <c r="A966" s="38"/>
      <c r="B966" s="38"/>
      <c r="C966" s="38"/>
      <c r="D966" s="38"/>
      <c r="F966" s="38"/>
    </row>
    <row r="967">
      <c r="A967" s="38"/>
      <c r="B967" s="38"/>
      <c r="C967" s="38"/>
      <c r="D967" s="38"/>
      <c r="F967" s="38"/>
    </row>
    <row r="968">
      <c r="A968" s="38"/>
      <c r="B968" s="38"/>
      <c r="C968" s="38"/>
      <c r="D968" s="38"/>
      <c r="F968" s="38"/>
    </row>
    <row r="969">
      <c r="A969" s="38"/>
      <c r="B969" s="38"/>
      <c r="C969" s="38"/>
      <c r="D969" s="38"/>
      <c r="F969" s="38"/>
    </row>
    <row r="970">
      <c r="A970" s="38"/>
      <c r="B970" s="38"/>
      <c r="C970" s="38"/>
      <c r="D970" s="38"/>
      <c r="F970" s="38"/>
    </row>
    <row r="971">
      <c r="A971" s="38"/>
      <c r="B971" s="38"/>
      <c r="C971" s="38"/>
      <c r="D971" s="38"/>
      <c r="F971" s="38"/>
    </row>
    <row r="972">
      <c r="A972" s="38"/>
      <c r="B972" s="38"/>
      <c r="C972" s="38"/>
      <c r="D972" s="38"/>
      <c r="F972" s="3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 customWidth="1" min="2" max="2" width="52.25"/>
    <col customWidth="1" min="3" max="3" width="28.0"/>
    <col customWidth="1" min="4" max="4" width="38.38"/>
  </cols>
  <sheetData>
    <row r="1">
      <c r="A1" s="28" t="s">
        <v>1</v>
      </c>
      <c r="B1" s="28" t="s">
        <v>10</v>
      </c>
      <c r="C1" s="28" t="s">
        <v>1239</v>
      </c>
      <c r="D1" s="28" t="s">
        <v>1007</v>
      </c>
    </row>
    <row r="2">
      <c r="A2" s="28" t="s">
        <v>12</v>
      </c>
      <c r="B2" s="28" t="s">
        <v>1240</v>
      </c>
      <c r="C2" s="28" t="s">
        <v>13</v>
      </c>
      <c r="D2" s="28" t="s">
        <v>16</v>
      </c>
    </row>
    <row r="3">
      <c r="A3" s="28" t="s">
        <v>1027</v>
      </c>
      <c r="B3" s="28" t="s">
        <v>1241</v>
      </c>
      <c r="C3" s="28" t="s">
        <v>21</v>
      </c>
      <c r="D3" s="28" t="s">
        <v>22</v>
      </c>
    </row>
    <row r="4">
      <c r="A4" s="28" t="s">
        <v>25</v>
      </c>
      <c r="B4" s="28" t="s">
        <v>1242</v>
      </c>
      <c r="C4" s="28" t="s">
        <v>26</v>
      </c>
      <c r="D4" s="28" t="s">
        <v>27</v>
      </c>
    </row>
    <row r="5">
      <c r="A5" s="28" t="s">
        <v>30</v>
      </c>
      <c r="B5" s="28" t="s">
        <v>1243</v>
      </c>
      <c r="C5" s="28" t="s">
        <v>31</v>
      </c>
      <c r="D5" s="28" t="s">
        <v>32</v>
      </c>
    </row>
    <row r="6">
      <c r="A6" s="28" t="s">
        <v>35</v>
      </c>
      <c r="B6" s="28" t="s">
        <v>1244</v>
      </c>
      <c r="C6" s="28" t="s">
        <v>36</v>
      </c>
      <c r="D6" s="28" t="s">
        <v>37</v>
      </c>
    </row>
    <row r="7">
      <c r="A7" s="28" t="s">
        <v>1032</v>
      </c>
      <c r="B7" s="28" t="s">
        <v>1245</v>
      </c>
      <c r="C7" s="28" t="s">
        <v>41</v>
      </c>
      <c r="D7" s="28" t="s">
        <v>37</v>
      </c>
    </row>
    <row r="8">
      <c r="A8" s="28" t="s">
        <v>44</v>
      </c>
      <c r="B8" s="28" t="s">
        <v>1246</v>
      </c>
      <c r="C8" s="28" t="s">
        <v>45</v>
      </c>
      <c r="D8" s="28" t="s">
        <v>37</v>
      </c>
    </row>
    <row r="9">
      <c r="A9" s="28" t="s">
        <v>1036</v>
      </c>
      <c r="B9" s="28" t="s">
        <v>1247</v>
      </c>
      <c r="C9" s="28" t="s">
        <v>1248</v>
      </c>
      <c r="D9" s="28" t="s">
        <v>178</v>
      </c>
    </row>
    <row r="10">
      <c r="A10" s="28" t="s">
        <v>48</v>
      </c>
      <c r="B10" s="28" t="s">
        <v>1249</v>
      </c>
      <c r="C10" s="28" t="s">
        <v>49</v>
      </c>
      <c r="D10" s="28" t="s">
        <v>50</v>
      </c>
    </row>
    <row r="11">
      <c r="A11" s="28" t="s">
        <v>53</v>
      </c>
      <c r="B11" s="28" t="s">
        <v>1250</v>
      </c>
      <c r="C11" s="28" t="s">
        <v>54</v>
      </c>
      <c r="D11" s="28" t="s">
        <v>55</v>
      </c>
    </row>
    <row r="12">
      <c r="A12" s="28" t="s">
        <v>58</v>
      </c>
      <c r="B12" s="28" t="s">
        <v>1251</v>
      </c>
      <c r="C12" s="28" t="s">
        <v>1252</v>
      </c>
      <c r="D12" s="28" t="s">
        <v>60</v>
      </c>
    </row>
    <row r="13">
      <c r="A13" s="28" t="s">
        <v>63</v>
      </c>
      <c r="B13" s="28" t="s">
        <v>1253</v>
      </c>
      <c r="C13" s="28" t="s">
        <v>64</v>
      </c>
      <c r="D13" s="28" t="s">
        <v>65</v>
      </c>
    </row>
    <row r="14">
      <c r="A14" s="28" t="s">
        <v>68</v>
      </c>
      <c r="B14" s="28" t="s">
        <v>1254</v>
      </c>
      <c r="C14" s="28" t="s">
        <v>69</v>
      </c>
      <c r="D14" s="28" t="s">
        <v>70</v>
      </c>
    </row>
    <row r="15">
      <c r="A15" s="28" t="s">
        <v>73</v>
      </c>
      <c r="B15" s="28" t="s">
        <v>1255</v>
      </c>
      <c r="C15" s="28" t="s">
        <v>74</v>
      </c>
      <c r="D15" s="28" t="s">
        <v>75</v>
      </c>
    </row>
    <row r="16">
      <c r="A16" s="28" t="s">
        <v>78</v>
      </c>
      <c r="B16" s="28" t="s">
        <v>1256</v>
      </c>
      <c r="C16" s="28" t="s">
        <v>79</v>
      </c>
      <c r="D16" s="28" t="s">
        <v>80</v>
      </c>
    </row>
    <row r="17">
      <c r="A17" s="28" t="s">
        <v>83</v>
      </c>
      <c r="B17" s="28" t="s">
        <v>1257</v>
      </c>
      <c r="C17" s="28" t="s">
        <v>84</v>
      </c>
      <c r="D17" s="28" t="s">
        <v>85</v>
      </c>
    </row>
    <row r="18">
      <c r="A18" s="28" t="s">
        <v>88</v>
      </c>
      <c r="B18" s="28" t="s">
        <v>1258</v>
      </c>
      <c r="C18" s="28" t="s">
        <v>89</v>
      </c>
      <c r="D18" s="28" t="s">
        <v>90</v>
      </c>
    </row>
    <row r="19">
      <c r="A19" s="28" t="s">
        <v>93</v>
      </c>
      <c r="B19" s="28" t="s">
        <v>1259</v>
      </c>
      <c r="C19" s="28" t="s">
        <v>94</v>
      </c>
      <c r="D19" s="28" t="s">
        <v>95</v>
      </c>
    </row>
    <row r="20">
      <c r="A20" s="28" t="s">
        <v>98</v>
      </c>
      <c r="B20" s="28" t="s">
        <v>1260</v>
      </c>
      <c r="C20" s="28" t="s">
        <v>99</v>
      </c>
      <c r="D20" s="28" t="s">
        <v>100</v>
      </c>
    </row>
    <row r="21">
      <c r="A21" s="28" t="s">
        <v>103</v>
      </c>
      <c r="B21" s="28" t="s">
        <v>1261</v>
      </c>
      <c r="C21" s="28" t="s">
        <v>104</v>
      </c>
      <c r="D21" s="28" t="s">
        <v>105</v>
      </c>
    </row>
    <row r="22">
      <c r="A22" s="28" t="s">
        <v>108</v>
      </c>
      <c r="B22" s="28" t="s">
        <v>1262</v>
      </c>
      <c r="C22" s="28" t="s">
        <v>109</v>
      </c>
      <c r="D22" s="28" t="s">
        <v>110</v>
      </c>
    </row>
    <row r="23">
      <c r="A23" s="28" t="s">
        <v>113</v>
      </c>
      <c r="B23" s="28" t="s">
        <v>1263</v>
      </c>
      <c r="C23" s="28" t="s">
        <v>114</v>
      </c>
      <c r="D23" s="28" t="s">
        <v>115</v>
      </c>
    </row>
    <row r="24">
      <c r="A24" s="28" t="s">
        <v>1058</v>
      </c>
      <c r="B24" s="28" t="s">
        <v>1264</v>
      </c>
      <c r="C24" s="28" t="s">
        <v>119</v>
      </c>
      <c r="D24" s="28" t="s">
        <v>120</v>
      </c>
    </row>
    <row r="25">
      <c r="A25" s="28" t="s">
        <v>1061</v>
      </c>
      <c r="B25" s="28" t="s">
        <v>1265</v>
      </c>
      <c r="C25" s="28" t="s">
        <v>124</v>
      </c>
      <c r="D25" s="28" t="s">
        <v>125</v>
      </c>
    </row>
    <row r="26">
      <c r="A26" s="28" t="s">
        <v>128</v>
      </c>
      <c r="B26" s="28" t="s">
        <v>1266</v>
      </c>
      <c r="C26" s="28" t="s">
        <v>129</v>
      </c>
      <c r="D26" s="28" t="s">
        <v>130</v>
      </c>
    </row>
    <row r="27">
      <c r="A27" s="28" t="s">
        <v>1064</v>
      </c>
      <c r="B27" s="28" t="s">
        <v>1267</v>
      </c>
      <c r="C27" s="28" t="s">
        <v>134</v>
      </c>
      <c r="D27" s="28" t="s">
        <v>135</v>
      </c>
    </row>
    <row r="28">
      <c r="A28" s="28" t="s">
        <v>138</v>
      </c>
      <c r="B28" s="28" t="s">
        <v>1268</v>
      </c>
      <c r="C28" s="28" t="s">
        <v>139</v>
      </c>
      <c r="D28" s="28" t="s">
        <v>140</v>
      </c>
    </row>
    <row r="29">
      <c r="A29" s="28" t="s">
        <v>143</v>
      </c>
      <c r="B29" s="28" t="s">
        <v>1269</v>
      </c>
      <c r="C29" s="28" t="s">
        <v>144</v>
      </c>
      <c r="D29" s="28" t="s">
        <v>145</v>
      </c>
    </row>
    <row r="30">
      <c r="A30" s="28" t="s">
        <v>148</v>
      </c>
      <c r="B30" s="28" t="s">
        <v>1270</v>
      </c>
      <c r="C30" s="28" t="s">
        <v>149</v>
      </c>
      <c r="D30" s="28" t="s">
        <v>150</v>
      </c>
    </row>
    <row r="31">
      <c r="A31" s="28" t="s">
        <v>153</v>
      </c>
      <c r="B31" s="28" t="s">
        <v>1271</v>
      </c>
      <c r="C31" s="28" t="s">
        <v>154</v>
      </c>
      <c r="D31" s="28" t="s">
        <v>155</v>
      </c>
    </row>
    <row r="32">
      <c r="A32" s="28" t="s">
        <v>158</v>
      </c>
      <c r="B32" s="28" t="s">
        <v>1272</v>
      </c>
      <c r="C32" s="28" t="s">
        <v>159</v>
      </c>
      <c r="D32" s="28" t="s">
        <v>160</v>
      </c>
    </row>
    <row r="33">
      <c r="A33" s="28" t="s">
        <v>163</v>
      </c>
      <c r="B33" s="28" t="s">
        <v>1273</v>
      </c>
      <c r="C33" s="28" t="s">
        <v>164</v>
      </c>
      <c r="D33" s="28" t="s">
        <v>37</v>
      </c>
    </row>
    <row r="34">
      <c r="A34" s="28" t="s">
        <v>167</v>
      </c>
      <c r="B34" s="28" t="s">
        <v>1274</v>
      </c>
      <c r="C34" s="28" t="s">
        <v>168</v>
      </c>
      <c r="D34" s="28" t="s">
        <v>120</v>
      </c>
    </row>
    <row r="35">
      <c r="A35" s="28" t="s">
        <v>1077</v>
      </c>
      <c r="B35" s="28" t="s">
        <v>1275</v>
      </c>
      <c r="C35" s="28" t="s">
        <v>172</v>
      </c>
      <c r="D35" s="28" t="s">
        <v>173</v>
      </c>
    </row>
    <row r="36">
      <c r="A36" s="28" t="s">
        <v>176</v>
      </c>
      <c r="B36" s="28" t="s">
        <v>1276</v>
      </c>
      <c r="C36" s="28" t="s">
        <v>177</v>
      </c>
      <c r="D36" s="28" t="s">
        <v>178</v>
      </c>
    </row>
    <row r="37">
      <c r="A37" s="28" t="s">
        <v>181</v>
      </c>
      <c r="B37" s="28" t="s">
        <v>1277</v>
      </c>
      <c r="C37" s="28" t="s">
        <v>182</v>
      </c>
      <c r="D37" s="28" t="s">
        <v>183</v>
      </c>
    </row>
    <row r="38">
      <c r="A38" s="28" t="s">
        <v>186</v>
      </c>
      <c r="B38" s="28" t="s">
        <v>1278</v>
      </c>
      <c r="C38" s="28" t="s">
        <v>187</v>
      </c>
      <c r="D38" s="28" t="s">
        <v>188</v>
      </c>
    </row>
    <row r="39">
      <c r="A39" s="28" t="s">
        <v>688</v>
      </c>
      <c r="B39" s="28" t="s">
        <v>1279</v>
      </c>
      <c r="C39" s="28" t="s">
        <v>689</v>
      </c>
      <c r="D39" s="28" t="s">
        <v>198</v>
      </c>
    </row>
    <row r="40">
      <c r="A40" s="28" t="s">
        <v>718</v>
      </c>
      <c r="B40" s="28" t="s">
        <v>1280</v>
      </c>
      <c r="C40" s="28" t="s">
        <v>719</v>
      </c>
      <c r="D40" s="28" t="s">
        <v>1281</v>
      </c>
    </row>
    <row r="41">
      <c r="A41" s="28" t="s">
        <v>554</v>
      </c>
      <c r="B41" s="28" t="s">
        <v>1282</v>
      </c>
      <c r="C41" s="28" t="s">
        <v>555</v>
      </c>
      <c r="D41" s="28" t="s">
        <v>1283</v>
      </c>
    </row>
    <row r="42">
      <c r="A42" s="28" t="s">
        <v>559</v>
      </c>
      <c r="B42" s="28" t="s">
        <v>1284</v>
      </c>
      <c r="C42" s="28" t="s">
        <v>560</v>
      </c>
      <c r="D42" s="28" t="s">
        <v>561</v>
      </c>
    </row>
    <row r="43">
      <c r="A43" s="28" t="s">
        <v>564</v>
      </c>
      <c r="B43" s="28" t="s">
        <v>1285</v>
      </c>
      <c r="C43" s="28" t="s">
        <v>1286</v>
      </c>
      <c r="D43" s="28" t="s">
        <v>173</v>
      </c>
    </row>
    <row r="44">
      <c r="A44" s="28" t="s">
        <v>568</v>
      </c>
      <c r="B44" s="28" t="s">
        <v>1287</v>
      </c>
      <c r="C44" s="28" t="s">
        <v>569</v>
      </c>
      <c r="D44" s="28" t="s">
        <v>1288</v>
      </c>
    </row>
    <row r="45">
      <c r="A45" s="28" t="s">
        <v>191</v>
      </c>
      <c r="B45" s="28" t="s">
        <v>1289</v>
      </c>
      <c r="C45" s="28" t="s">
        <v>192</v>
      </c>
      <c r="D45" s="28" t="s">
        <v>193</v>
      </c>
    </row>
    <row r="46">
      <c r="A46" s="28" t="s">
        <v>1094</v>
      </c>
      <c r="B46" s="28" t="s">
        <v>1290</v>
      </c>
      <c r="C46" s="28" t="s">
        <v>197</v>
      </c>
      <c r="D46" s="28" t="s">
        <v>198</v>
      </c>
    </row>
    <row r="47">
      <c r="A47" s="28" t="s">
        <v>201</v>
      </c>
      <c r="B47" s="28" t="s">
        <v>1291</v>
      </c>
      <c r="C47" s="28" t="s">
        <v>202</v>
      </c>
      <c r="D47" s="28" t="s">
        <v>110</v>
      </c>
    </row>
    <row r="48">
      <c r="A48" s="28" t="s">
        <v>205</v>
      </c>
      <c r="B48" s="28" t="s">
        <v>1292</v>
      </c>
      <c r="C48" s="28" t="s">
        <v>206</v>
      </c>
      <c r="D48" s="28" t="s">
        <v>207</v>
      </c>
    </row>
    <row r="49">
      <c r="A49" s="28" t="s">
        <v>210</v>
      </c>
      <c r="B49" s="28" t="s">
        <v>1293</v>
      </c>
      <c r="C49" s="28" t="s">
        <v>211</v>
      </c>
      <c r="D49" s="28" t="s">
        <v>110</v>
      </c>
    </row>
    <row r="50">
      <c r="A50" s="28" t="s">
        <v>214</v>
      </c>
      <c r="B50" s="28" t="s">
        <v>1294</v>
      </c>
      <c r="C50" s="28" t="s">
        <v>215</v>
      </c>
      <c r="D50" s="28" t="s">
        <v>216</v>
      </c>
    </row>
    <row r="51">
      <c r="A51" s="28" t="s">
        <v>219</v>
      </c>
      <c r="B51" s="28" t="s">
        <v>1295</v>
      </c>
      <c r="C51" s="28" t="s">
        <v>220</v>
      </c>
      <c r="D51" s="28" t="s">
        <v>221</v>
      </c>
    </row>
    <row r="52">
      <c r="A52" s="28" t="s">
        <v>224</v>
      </c>
      <c r="B52" s="28" t="s">
        <v>1296</v>
      </c>
      <c r="C52" s="28" t="s">
        <v>225</v>
      </c>
      <c r="D52" s="28" t="s">
        <v>226</v>
      </c>
    </row>
    <row r="53">
      <c r="A53" s="28" t="s">
        <v>229</v>
      </c>
      <c r="B53" s="28" t="s">
        <v>1297</v>
      </c>
      <c r="C53" s="28" t="s">
        <v>230</v>
      </c>
      <c r="D53" s="28" t="s">
        <v>231</v>
      </c>
    </row>
    <row r="54">
      <c r="A54" s="28" t="s">
        <v>234</v>
      </c>
      <c r="B54" s="28" t="s">
        <v>1298</v>
      </c>
      <c r="C54" s="28" t="s">
        <v>235</v>
      </c>
      <c r="D54" s="28" t="s">
        <v>236</v>
      </c>
    </row>
    <row r="55">
      <c r="A55" s="28" t="s">
        <v>239</v>
      </c>
      <c r="B55" s="28" t="s">
        <v>1299</v>
      </c>
      <c r="C55" s="28" t="s">
        <v>240</v>
      </c>
      <c r="D55" s="28" t="s">
        <v>241</v>
      </c>
    </row>
    <row r="56">
      <c r="A56" s="28" t="s">
        <v>1107</v>
      </c>
      <c r="B56" s="28" t="s">
        <v>1300</v>
      </c>
      <c r="C56" s="28" t="s">
        <v>245</v>
      </c>
      <c r="D56" s="28" t="s">
        <v>246</v>
      </c>
    </row>
    <row r="57">
      <c r="A57" s="28" t="s">
        <v>249</v>
      </c>
      <c r="B57" s="28" t="s">
        <v>1301</v>
      </c>
      <c r="C57" s="28" t="s">
        <v>250</v>
      </c>
      <c r="D57" s="28" t="s">
        <v>251</v>
      </c>
    </row>
    <row r="58">
      <c r="A58" s="28" t="s">
        <v>254</v>
      </c>
      <c r="B58" s="28" t="s">
        <v>1302</v>
      </c>
      <c r="C58" s="28" t="s">
        <v>255</v>
      </c>
      <c r="D58" s="28" t="s">
        <v>256</v>
      </c>
    </row>
    <row r="59">
      <c r="A59" s="28" t="s">
        <v>259</v>
      </c>
      <c r="B59" s="28" t="s">
        <v>1303</v>
      </c>
      <c r="C59" s="28" t="s">
        <v>260</v>
      </c>
      <c r="D59" s="28" t="s">
        <v>261</v>
      </c>
    </row>
    <row r="60">
      <c r="A60" s="28" t="s">
        <v>263</v>
      </c>
      <c r="B60" s="28" t="s">
        <v>1304</v>
      </c>
      <c r="C60" s="28" t="s">
        <v>264</v>
      </c>
      <c r="D60" s="28" t="s">
        <v>265</v>
      </c>
    </row>
    <row r="61">
      <c r="A61" s="28" t="s">
        <v>268</v>
      </c>
      <c r="B61" s="28" t="s">
        <v>1305</v>
      </c>
      <c r="C61" s="28" t="s">
        <v>269</v>
      </c>
      <c r="D61" s="28" t="s">
        <v>270</v>
      </c>
    </row>
    <row r="62">
      <c r="A62" s="28" t="s">
        <v>273</v>
      </c>
      <c r="B62" s="28" t="s">
        <v>1306</v>
      </c>
      <c r="C62" s="28" t="s">
        <v>274</v>
      </c>
      <c r="D62" s="28" t="s">
        <v>275</v>
      </c>
    </row>
    <row r="63">
      <c r="A63" s="28" t="s">
        <v>278</v>
      </c>
      <c r="B63" s="28" t="s">
        <v>1307</v>
      </c>
      <c r="C63" s="28" t="s">
        <v>1308</v>
      </c>
      <c r="D63" s="28" t="s">
        <v>280</v>
      </c>
    </row>
    <row r="64">
      <c r="A64" s="28" t="s">
        <v>283</v>
      </c>
      <c r="B64" s="28" t="s">
        <v>1309</v>
      </c>
      <c r="C64" s="28" t="s">
        <v>284</v>
      </c>
      <c r="D64" s="28" t="s">
        <v>285</v>
      </c>
    </row>
    <row r="65">
      <c r="A65" s="28" t="s">
        <v>288</v>
      </c>
      <c r="B65" s="28" t="s">
        <v>1310</v>
      </c>
      <c r="C65" s="28" t="s">
        <v>289</v>
      </c>
      <c r="D65" s="28" t="s">
        <v>290</v>
      </c>
    </row>
    <row r="66">
      <c r="A66" s="28" t="s">
        <v>293</v>
      </c>
      <c r="B66" s="28" t="s">
        <v>1311</v>
      </c>
      <c r="C66" s="28" t="s">
        <v>294</v>
      </c>
      <c r="D66" s="28" t="s">
        <v>295</v>
      </c>
    </row>
    <row r="67">
      <c r="A67" s="28" t="s">
        <v>298</v>
      </c>
      <c r="B67" s="28" t="s">
        <v>1312</v>
      </c>
      <c r="C67" s="28" t="s">
        <v>299</v>
      </c>
      <c r="D67" s="28" t="s">
        <v>300</v>
      </c>
    </row>
    <row r="68">
      <c r="A68" s="28" t="s">
        <v>303</v>
      </c>
      <c r="B68" s="28" t="s">
        <v>1313</v>
      </c>
      <c r="C68" s="28" t="s">
        <v>304</v>
      </c>
      <c r="D68" s="28" t="s">
        <v>305</v>
      </c>
    </row>
    <row r="69">
      <c r="A69" s="28" t="s">
        <v>308</v>
      </c>
      <c r="B69" s="28" t="s">
        <v>1314</v>
      </c>
      <c r="C69" s="28" t="s">
        <v>309</v>
      </c>
      <c r="D69" s="28" t="s">
        <v>310</v>
      </c>
    </row>
    <row r="70">
      <c r="A70" s="28" t="s">
        <v>313</v>
      </c>
      <c r="B70" s="28" t="s">
        <v>1315</v>
      </c>
      <c r="C70" s="28" t="s">
        <v>314</v>
      </c>
      <c r="D70" s="28" t="s">
        <v>315</v>
      </c>
    </row>
    <row r="71">
      <c r="A71" s="28" t="s">
        <v>318</v>
      </c>
      <c r="B71" s="28" t="s">
        <v>1316</v>
      </c>
      <c r="C71" s="28" t="s">
        <v>319</v>
      </c>
      <c r="D71" s="28" t="s">
        <v>320</v>
      </c>
    </row>
    <row r="72">
      <c r="A72" s="28" t="s">
        <v>323</v>
      </c>
      <c r="B72" s="28" t="s">
        <v>1317</v>
      </c>
      <c r="C72" s="28" t="s">
        <v>324</v>
      </c>
      <c r="D72" s="28" t="s">
        <v>325</v>
      </c>
    </row>
    <row r="73">
      <c r="A73" s="28" t="s">
        <v>328</v>
      </c>
      <c r="B73" s="28" t="s">
        <v>1318</v>
      </c>
      <c r="C73" s="28" t="s">
        <v>329</v>
      </c>
      <c r="D73" s="28" t="s">
        <v>110</v>
      </c>
    </row>
    <row r="74">
      <c r="A74" s="28" t="s">
        <v>332</v>
      </c>
      <c r="B74" s="28" t="s">
        <v>1319</v>
      </c>
      <c r="C74" s="28" t="s">
        <v>333</v>
      </c>
      <c r="D74" s="28" t="s">
        <v>110</v>
      </c>
    </row>
    <row r="75">
      <c r="A75" s="28" t="s">
        <v>336</v>
      </c>
      <c r="B75" s="28" t="s">
        <v>1320</v>
      </c>
      <c r="C75" s="28" t="s">
        <v>337</v>
      </c>
      <c r="D75" s="28" t="s">
        <v>338</v>
      </c>
    </row>
    <row r="76">
      <c r="A76" s="28" t="s">
        <v>341</v>
      </c>
      <c r="B76" s="28" t="s">
        <v>1321</v>
      </c>
      <c r="C76" s="28" t="s">
        <v>342</v>
      </c>
      <c r="D76" s="28" t="s">
        <v>343</v>
      </c>
    </row>
    <row r="77">
      <c r="A77" s="28" t="s">
        <v>346</v>
      </c>
      <c r="B77" s="28" t="s">
        <v>1322</v>
      </c>
      <c r="C77" s="28" t="s">
        <v>347</v>
      </c>
      <c r="D77" s="28" t="s">
        <v>348</v>
      </c>
    </row>
    <row r="78">
      <c r="A78" s="28" t="s">
        <v>351</v>
      </c>
      <c r="B78" s="28" t="s">
        <v>1323</v>
      </c>
      <c r="C78" s="28" t="s">
        <v>352</v>
      </c>
      <c r="D78" s="28" t="s">
        <v>353</v>
      </c>
    </row>
    <row r="79">
      <c r="A79" s="28" t="s">
        <v>356</v>
      </c>
      <c r="B79" s="28" t="s">
        <v>1324</v>
      </c>
      <c r="C79" s="28" t="s">
        <v>357</v>
      </c>
      <c r="D79" s="28" t="s">
        <v>358</v>
      </c>
    </row>
    <row r="80">
      <c r="A80" s="28" t="s">
        <v>361</v>
      </c>
      <c r="B80" s="28" t="s">
        <v>1325</v>
      </c>
      <c r="C80" s="28" t="s">
        <v>362</v>
      </c>
      <c r="D80" s="28" t="s">
        <v>363</v>
      </c>
    </row>
    <row r="81">
      <c r="A81" s="28" t="s">
        <v>366</v>
      </c>
      <c r="B81" s="28" t="s">
        <v>1326</v>
      </c>
      <c r="C81" s="28" t="s">
        <v>367</v>
      </c>
      <c r="D81" s="28" t="s">
        <v>368</v>
      </c>
    </row>
    <row r="82">
      <c r="A82" s="28" t="s">
        <v>371</v>
      </c>
      <c r="B82" s="28" t="s">
        <v>1327</v>
      </c>
      <c r="C82" s="28" t="s">
        <v>372</v>
      </c>
      <c r="D82" s="28" t="s">
        <v>373</v>
      </c>
    </row>
    <row r="83">
      <c r="A83" s="28" t="s">
        <v>376</v>
      </c>
      <c r="B83" s="28" t="s">
        <v>1328</v>
      </c>
      <c r="C83" s="28" t="s">
        <v>377</v>
      </c>
      <c r="D83" s="28" t="s">
        <v>378</v>
      </c>
    </row>
    <row r="84">
      <c r="A84" s="28" t="s">
        <v>381</v>
      </c>
      <c r="B84" s="28" t="s">
        <v>1329</v>
      </c>
      <c r="C84" s="28" t="s">
        <v>382</v>
      </c>
      <c r="D84" s="28" t="s">
        <v>383</v>
      </c>
    </row>
    <row r="85">
      <c r="A85" s="28" t="s">
        <v>386</v>
      </c>
      <c r="B85" s="28" t="s">
        <v>1330</v>
      </c>
      <c r="C85" s="28" t="s">
        <v>387</v>
      </c>
      <c r="D85" s="28" t="s">
        <v>388</v>
      </c>
    </row>
    <row r="86">
      <c r="A86" s="28" t="s">
        <v>391</v>
      </c>
      <c r="B86" s="28" t="s">
        <v>1331</v>
      </c>
      <c r="C86" s="28" t="s">
        <v>392</v>
      </c>
      <c r="D86" s="28" t="s">
        <v>393</v>
      </c>
    </row>
    <row r="87">
      <c r="A87" s="28" t="s">
        <v>396</v>
      </c>
      <c r="B87" s="28" t="s">
        <v>1332</v>
      </c>
      <c r="C87" s="28" t="s">
        <v>397</v>
      </c>
      <c r="D87" s="28" t="s">
        <v>398</v>
      </c>
    </row>
    <row r="88">
      <c r="A88" s="28" t="s">
        <v>401</v>
      </c>
      <c r="B88" s="28" t="s">
        <v>1333</v>
      </c>
      <c r="C88" s="28" t="s">
        <v>402</v>
      </c>
      <c r="D88" s="28" t="s">
        <v>120</v>
      </c>
    </row>
    <row r="89">
      <c r="A89" s="28" t="s">
        <v>405</v>
      </c>
      <c r="B89" s="28" t="s">
        <v>1334</v>
      </c>
      <c r="C89" s="28" t="s">
        <v>406</v>
      </c>
      <c r="D89" s="28" t="s">
        <v>407</v>
      </c>
    </row>
    <row r="90">
      <c r="A90" s="28" t="s">
        <v>410</v>
      </c>
      <c r="B90" s="28" t="s">
        <v>1335</v>
      </c>
      <c r="C90" s="28" t="s">
        <v>411</v>
      </c>
      <c r="D90" s="28" t="s">
        <v>412</v>
      </c>
    </row>
    <row r="91">
      <c r="A91" s="28" t="s">
        <v>415</v>
      </c>
      <c r="B91" s="28" t="s">
        <v>1336</v>
      </c>
      <c r="C91" s="28" t="s">
        <v>416</v>
      </c>
      <c r="D91" s="28" t="s">
        <v>417</v>
      </c>
    </row>
    <row r="92">
      <c r="A92" s="28" t="s">
        <v>420</v>
      </c>
      <c r="B92" s="28" t="s">
        <v>1337</v>
      </c>
      <c r="C92" s="28" t="s">
        <v>421</v>
      </c>
      <c r="D92" s="28" t="s">
        <v>422</v>
      </c>
    </row>
    <row r="93">
      <c r="A93" s="28" t="s">
        <v>425</v>
      </c>
      <c r="B93" s="28" t="s">
        <v>1338</v>
      </c>
      <c r="C93" s="28" t="s">
        <v>426</v>
      </c>
      <c r="D93" s="28" t="s">
        <v>427</v>
      </c>
    </row>
    <row r="94">
      <c r="A94" s="28" t="s">
        <v>1159</v>
      </c>
      <c r="B94" s="28" t="s">
        <v>1339</v>
      </c>
      <c r="C94" s="28" t="s">
        <v>431</v>
      </c>
      <c r="D94" s="28" t="s">
        <v>432</v>
      </c>
    </row>
    <row r="95">
      <c r="A95" s="28" t="s">
        <v>435</v>
      </c>
      <c r="B95" s="28" t="s">
        <v>1340</v>
      </c>
      <c r="C95" s="28" t="s">
        <v>436</v>
      </c>
      <c r="D95" s="28" t="s">
        <v>437</v>
      </c>
    </row>
    <row r="96">
      <c r="A96" s="28" t="s">
        <v>1164</v>
      </c>
      <c r="B96" s="28" t="s">
        <v>1341</v>
      </c>
      <c r="C96" s="28" t="s">
        <v>441</v>
      </c>
      <c r="D96" s="28" t="s">
        <v>442</v>
      </c>
    </row>
    <row r="97">
      <c r="A97" s="28" t="s">
        <v>444</v>
      </c>
      <c r="B97" s="28" t="s">
        <v>1342</v>
      </c>
      <c r="C97" s="28" t="s">
        <v>445</v>
      </c>
      <c r="D97" s="28" t="s">
        <v>446</v>
      </c>
    </row>
    <row r="98">
      <c r="A98" s="28" t="s">
        <v>449</v>
      </c>
      <c r="B98" s="28" t="s">
        <v>1343</v>
      </c>
      <c r="C98" s="28" t="s">
        <v>450</v>
      </c>
      <c r="D98" s="28" t="s">
        <v>451</v>
      </c>
    </row>
    <row r="99">
      <c r="A99" s="28" t="s">
        <v>1168</v>
      </c>
      <c r="B99" s="28" t="s">
        <v>1344</v>
      </c>
      <c r="C99" s="28" t="s">
        <v>1345</v>
      </c>
      <c r="D99" s="28" t="s">
        <v>1346</v>
      </c>
    </row>
    <row r="100">
      <c r="A100" s="28" t="s">
        <v>454</v>
      </c>
      <c r="B100" s="28" t="s">
        <v>1347</v>
      </c>
      <c r="C100" s="28" t="s">
        <v>455</v>
      </c>
      <c r="D100" s="28" t="s">
        <v>456</v>
      </c>
    </row>
    <row r="101">
      <c r="A101" s="28" t="s">
        <v>459</v>
      </c>
      <c r="B101" s="28" t="s">
        <v>1348</v>
      </c>
      <c r="C101" s="28" t="s">
        <v>460</v>
      </c>
      <c r="D101" s="28" t="s">
        <v>461</v>
      </c>
    </row>
    <row r="102">
      <c r="A102" s="28" t="s">
        <v>464</v>
      </c>
      <c r="B102" s="28" t="s">
        <v>1349</v>
      </c>
      <c r="C102" s="28" t="s">
        <v>465</v>
      </c>
      <c r="D102" s="28" t="s">
        <v>466</v>
      </c>
    </row>
    <row r="103">
      <c r="A103" s="28" t="s">
        <v>469</v>
      </c>
      <c r="B103" s="28" t="s">
        <v>1350</v>
      </c>
      <c r="C103" s="28" t="s">
        <v>470</v>
      </c>
      <c r="D103" s="28" t="s">
        <v>471</v>
      </c>
    </row>
    <row r="104">
      <c r="A104" s="28" t="s">
        <v>474</v>
      </c>
      <c r="B104" s="28" t="s">
        <v>1351</v>
      </c>
      <c r="C104" s="28" t="s">
        <v>475</v>
      </c>
      <c r="D104" s="28" t="s">
        <v>476</v>
      </c>
    </row>
    <row r="105">
      <c r="A105" s="28" t="s">
        <v>1180</v>
      </c>
      <c r="B105" s="28" t="s">
        <v>1352</v>
      </c>
      <c r="C105" s="28" t="s">
        <v>480</v>
      </c>
      <c r="D105" s="28" t="s">
        <v>481</v>
      </c>
    </row>
    <row r="106">
      <c r="A106" s="28" t="s">
        <v>484</v>
      </c>
      <c r="B106" s="28" t="s">
        <v>1353</v>
      </c>
      <c r="C106" s="28" t="s">
        <v>485</v>
      </c>
      <c r="D106" s="28" t="s">
        <v>486</v>
      </c>
    </row>
    <row r="107">
      <c r="A107" s="28" t="s">
        <v>489</v>
      </c>
      <c r="B107" s="28" t="s">
        <v>1354</v>
      </c>
      <c r="C107" s="28" t="s">
        <v>490</v>
      </c>
      <c r="D107" s="28" t="s">
        <v>110</v>
      </c>
    </row>
    <row r="108">
      <c r="A108" s="28" t="s">
        <v>493</v>
      </c>
      <c r="B108" s="28" t="s">
        <v>1355</v>
      </c>
      <c r="C108" s="28" t="s">
        <v>494</v>
      </c>
      <c r="D108" s="28" t="s">
        <v>495</v>
      </c>
    </row>
    <row r="109">
      <c r="A109" s="28" t="s">
        <v>498</v>
      </c>
      <c r="B109" s="28" t="s">
        <v>501</v>
      </c>
      <c r="C109" s="28" t="s">
        <v>499</v>
      </c>
      <c r="D109" s="28" t="s">
        <v>500</v>
      </c>
    </row>
    <row r="110">
      <c r="A110" s="28" t="s">
        <v>503</v>
      </c>
      <c r="B110" s="28" t="s">
        <v>1356</v>
      </c>
      <c r="C110" s="28" t="s">
        <v>1357</v>
      </c>
      <c r="D110" s="28" t="s">
        <v>505</v>
      </c>
    </row>
    <row r="111">
      <c r="A111" s="28" t="s">
        <v>508</v>
      </c>
      <c r="B111" s="28" t="s">
        <v>1358</v>
      </c>
      <c r="C111" s="28" t="s">
        <v>509</v>
      </c>
      <c r="D111" s="28" t="s">
        <v>510</v>
      </c>
    </row>
    <row r="112">
      <c r="A112" s="28" t="s">
        <v>513</v>
      </c>
      <c r="B112" s="28" t="s">
        <v>1359</v>
      </c>
      <c r="C112" s="28" t="s">
        <v>514</v>
      </c>
      <c r="D112" s="28" t="s">
        <v>515</v>
      </c>
    </row>
    <row r="113">
      <c r="A113" s="28" t="s">
        <v>518</v>
      </c>
      <c r="B113" s="28" t="s">
        <v>1360</v>
      </c>
      <c r="C113" s="28" t="s">
        <v>519</v>
      </c>
      <c r="D113" s="28" t="s">
        <v>510</v>
      </c>
    </row>
    <row r="114">
      <c r="A114" s="28" t="s">
        <v>522</v>
      </c>
      <c r="B114" s="28" t="s">
        <v>1361</v>
      </c>
      <c r="C114" s="28" t="s">
        <v>523</v>
      </c>
      <c r="D114" s="28" t="s">
        <v>173</v>
      </c>
    </row>
    <row r="115">
      <c r="A115" s="28" t="s">
        <v>526</v>
      </c>
      <c r="B115" s="28" t="s">
        <v>1362</v>
      </c>
      <c r="C115" s="28" t="s">
        <v>527</v>
      </c>
      <c r="D115" s="28" t="s">
        <v>528</v>
      </c>
    </row>
    <row r="116">
      <c r="A116" s="28" t="s">
        <v>531</v>
      </c>
      <c r="B116" s="28" t="s">
        <v>1363</v>
      </c>
      <c r="C116" s="28" t="s">
        <v>532</v>
      </c>
      <c r="D116" s="28" t="s">
        <v>120</v>
      </c>
    </row>
    <row r="117">
      <c r="A117" s="28" t="s">
        <v>535</v>
      </c>
      <c r="B117" s="28" t="s">
        <v>1364</v>
      </c>
      <c r="C117" s="28" t="s">
        <v>536</v>
      </c>
      <c r="D117" s="28" t="s">
        <v>528</v>
      </c>
    </row>
    <row r="118">
      <c r="A118" s="28" t="s">
        <v>539</v>
      </c>
      <c r="B118" s="28" t="s">
        <v>1365</v>
      </c>
      <c r="C118" s="28" t="s">
        <v>540</v>
      </c>
      <c r="D118" s="28" t="s">
        <v>541</v>
      </c>
    </row>
    <row r="119">
      <c r="A119" s="28" t="s">
        <v>544</v>
      </c>
      <c r="B119" s="28" t="s">
        <v>1366</v>
      </c>
      <c r="C119" s="28" t="s">
        <v>545</v>
      </c>
      <c r="D119" s="28" t="s">
        <v>546</v>
      </c>
    </row>
    <row r="120">
      <c r="A120" s="28" t="s">
        <v>549</v>
      </c>
      <c r="B120" s="28" t="s">
        <v>1367</v>
      </c>
      <c r="C120" s="28" t="s">
        <v>550</v>
      </c>
      <c r="D120" s="28" t="s">
        <v>551</v>
      </c>
    </row>
    <row r="121">
      <c r="A121" s="28" t="s">
        <v>688</v>
      </c>
      <c r="B121" s="28" t="s">
        <v>1368</v>
      </c>
      <c r="C121" s="28" t="s">
        <v>689</v>
      </c>
      <c r="D121" s="28" t="s">
        <v>198</v>
      </c>
    </row>
    <row r="122">
      <c r="A122" s="28" t="s">
        <v>718</v>
      </c>
      <c r="B122" s="28" t="s">
        <v>1369</v>
      </c>
      <c r="C122" s="28" t="s">
        <v>719</v>
      </c>
      <c r="D122" s="28" t="s">
        <v>1281</v>
      </c>
    </row>
    <row r="123">
      <c r="A123" s="28" t="s">
        <v>554</v>
      </c>
      <c r="B123" s="28" t="s">
        <v>1370</v>
      </c>
      <c r="C123" s="28" t="s">
        <v>555</v>
      </c>
      <c r="D123" s="28" t="s">
        <v>556</v>
      </c>
    </row>
    <row r="124">
      <c r="A124" s="28" t="s">
        <v>559</v>
      </c>
      <c r="B124" s="28" t="s">
        <v>1371</v>
      </c>
      <c r="C124" s="28" t="s">
        <v>560</v>
      </c>
      <c r="D124" s="28" t="s">
        <v>561</v>
      </c>
    </row>
    <row r="125">
      <c r="A125" s="28" t="s">
        <v>564</v>
      </c>
      <c r="B125" s="28" t="s">
        <v>1372</v>
      </c>
      <c r="C125" s="28" t="s">
        <v>565</v>
      </c>
      <c r="D125" s="28" t="s">
        <v>173</v>
      </c>
    </row>
    <row r="126">
      <c r="A126" s="28" t="s">
        <v>568</v>
      </c>
      <c r="B126" s="28" t="s">
        <v>1373</v>
      </c>
      <c r="C126" s="28" t="s">
        <v>569</v>
      </c>
      <c r="D126" s="28" t="s">
        <v>570</v>
      </c>
    </row>
    <row r="127">
      <c r="A127" s="28" t="s">
        <v>573</v>
      </c>
      <c r="B127" s="28" t="s">
        <v>1374</v>
      </c>
      <c r="C127" s="28" t="s">
        <v>574</v>
      </c>
      <c r="D127" s="28" t="s">
        <v>575</v>
      </c>
    </row>
    <row r="128">
      <c r="A128" s="28" t="s">
        <v>697</v>
      </c>
      <c r="B128" s="28" t="s">
        <v>1375</v>
      </c>
      <c r="C128" s="28" t="s">
        <v>698</v>
      </c>
      <c r="D128" s="28" t="s">
        <v>1376</v>
      </c>
    </row>
    <row r="129">
      <c r="A129" s="28" t="s">
        <v>577</v>
      </c>
      <c r="B129" s="28" t="s">
        <v>1377</v>
      </c>
      <c r="C129" s="28" t="s">
        <v>578</v>
      </c>
      <c r="D129" s="28" t="s">
        <v>510</v>
      </c>
    </row>
    <row r="130">
      <c r="A130" s="28" t="s">
        <v>580</v>
      </c>
      <c r="B130" s="28" t="s">
        <v>1378</v>
      </c>
      <c r="C130" s="28" t="s">
        <v>581</v>
      </c>
      <c r="D130" s="28" t="s">
        <v>582</v>
      </c>
    </row>
    <row r="131">
      <c r="A131" s="28" t="s">
        <v>585</v>
      </c>
      <c r="B131" s="28" t="s">
        <v>1379</v>
      </c>
      <c r="C131" s="28" t="s">
        <v>586</v>
      </c>
      <c r="D131" s="28" t="s">
        <v>587</v>
      </c>
    </row>
    <row r="132">
      <c r="A132" s="28" t="s">
        <v>590</v>
      </c>
      <c r="B132" s="28" t="s">
        <v>1380</v>
      </c>
      <c r="C132" s="28" t="s">
        <v>591</v>
      </c>
      <c r="D132" s="28" t="s">
        <v>592</v>
      </c>
    </row>
    <row r="133">
      <c r="A133" s="28" t="s">
        <v>595</v>
      </c>
      <c r="B133" s="28" t="s">
        <v>1381</v>
      </c>
      <c r="C133" s="28" t="s">
        <v>596</v>
      </c>
      <c r="D133" s="28" t="s">
        <v>597</v>
      </c>
    </row>
    <row r="134">
      <c r="A134" s="28" t="s">
        <v>1210</v>
      </c>
      <c r="B134" s="28" t="s">
        <v>1382</v>
      </c>
      <c r="C134" s="28" t="s">
        <v>601</v>
      </c>
      <c r="D134" s="28" t="s">
        <v>602</v>
      </c>
    </row>
    <row r="135">
      <c r="A135" s="28" t="s">
        <v>605</v>
      </c>
      <c r="B135" s="28" t="s">
        <v>1383</v>
      </c>
      <c r="C135" s="28" t="s">
        <v>606</v>
      </c>
      <c r="D135" s="28" t="s">
        <v>607</v>
      </c>
    </row>
    <row r="136">
      <c r="A136" s="28" t="s">
        <v>610</v>
      </c>
      <c r="B136" s="28" t="s">
        <v>1384</v>
      </c>
      <c r="C136" s="28" t="s">
        <v>1385</v>
      </c>
      <c r="D136" s="28" t="s">
        <v>612</v>
      </c>
    </row>
    <row r="137">
      <c r="A137" s="28" t="s">
        <v>615</v>
      </c>
      <c r="B137" s="28" t="s">
        <v>1386</v>
      </c>
      <c r="C137" s="28" t="s">
        <v>616</v>
      </c>
      <c r="D137" s="28" t="s">
        <v>617</v>
      </c>
    </row>
    <row r="138">
      <c r="A138" s="28" t="s">
        <v>620</v>
      </c>
      <c r="B138" s="28" t="s">
        <v>1387</v>
      </c>
      <c r="C138" s="28" t="s">
        <v>621</v>
      </c>
      <c r="D138" s="28" t="s">
        <v>622</v>
      </c>
    </row>
    <row r="139">
      <c r="A139" s="28" t="s">
        <v>625</v>
      </c>
      <c r="B139" s="28" t="s">
        <v>1388</v>
      </c>
      <c r="C139" s="28" t="s">
        <v>626</v>
      </c>
      <c r="D139" s="28" t="s">
        <v>627</v>
      </c>
    </row>
    <row r="140">
      <c r="A140" s="28" t="s">
        <v>1217</v>
      </c>
      <c r="B140" s="28" t="s">
        <v>1389</v>
      </c>
      <c r="C140" s="28" t="s">
        <v>631</v>
      </c>
      <c r="D140" s="28" t="s">
        <v>632</v>
      </c>
    </row>
    <row r="141">
      <c r="A141" s="28" t="s">
        <v>635</v>
      </c>
      <c r="B141" s="28" t="s">
        <v>1390</v>
      </c>
      <c r="C141" s="28" t="s">
        <v>636</v>
      </c>
      <c r="D141" s="28" t="s">
        <v>637</v>
      </c>
    </row>
    <row r="142">
      <c r="A142" s="28" t="s">
        <v>640</v>
      </c>
      <c r="B142" s="28" t="s">
        <v>1391</v>
      </c>
      <c r="C142" s="28" t="s">
        <v>641</v>
      </c>
      <c r="D142" s="28" t="s">
        <v>642</v>
      </c>
    </row>
    <row r="143">
      <c r="A143" s="28" t="s">
        <v>714</v>
      </c>
      <c r="B143" s="28" t="s">
        <v>1392</v>
      </c>
      <c r="C143" s="28" t="s">
        <v>1393</v>
      </c>
      <c r="D143" s="28" t="s">
        <v>140</v>
      </c>
    </row>
    <row r="144">
      <c r="A144" s="28" t="s">
        <v>645</v>
      </c>
      <c r="B144" s="28" t="s">
        <v>1394</v>
      </c>
      <c r="C144" s="28" t="s">
        <v>646</v>
      </c>
      <c r="D144" s="28" t="s">
        <v>647</v>
      </c>
    </row>
    <row r="145">
      <c r="A145" s="28" t="s">
        <v>650</v>
      </c>
      <c r="B145" s="28" t="s">
        <v>1395</v>
      </c>
      <c r="C145" s="28" t="s">
        <v>651</v>
      </c>
      <c r="D145" s="28" t="s">
        <v>140</v>
      </c>
    </row>
    <row r="146">
      <c r="A146" s="28" t="s">
        <v>654</v>
      </c>
      <c r="B146" s="28" t="s">
        <v>1396</v>
      </c>
      <c r="C146" s="28" t="s">
        <v>655</v>
      </c>
      <c r="D146" s="28" t="s">
        <v>656</v>
      </c>
    </row>
    <row r="147">
      <c r="A147" s="28" t="s">
        <v>659</v>
      </c>
      <c r="B147" s="28" t="s">
        <v>1397</v>
      </c>
      <c r="C147" s="28" t="s">
        <v>660</v>
      </c>
      <c r="D147" s="28" t="s">
        <v>661</v>
      </c>
    </row>
    <row r="148">
      <c r="A148" s="28" t="s">
        <v>664</v>
      </c>
      <c r="B148" s="28" t="s">
        <v>1398</v>
      </c>
      <c r="C148" s="28" t="s">
        <v>665</v>
      </c>
      <c r="D148" s="28" t="s">
        <v>198</v>
      </c>
    </row>
    <row r="149">
      <c r="A149" s="28" t="s">
        <v>668</v>
      </c>
      <c r="B149" s="28" t="s">
        <v>1399</v>
      </c>
      <c r="C149" s="28" t="s">
        <v>669</v>
      </c>
      <c r="D149" s="28" t="s">
        <v>612</v>
      </c>
    </row>
    <row r="150">
      <c r="A150" s="28" t="s">
        <v>672</v>
      </c>
      <c r="B150" s="28" t="s">
        <v>1400</v>
      </c>
      <c r="C150" s="28" t="s">
        <v>673</v>
      </c>
      <c r="D150" s="28" t="s">
        <v>120</v>
      </c>
    </row>
    <row r="151">
      <c r="A151" s="28" t="s">
        <v>675</v>
      </c>
      <c r="B151" s="28" t="s">
        <v>1401</v>
      </c>
      <c r="C151" s="28" t="s">
        <v>676</v>
      </c>
      <c r="D151" s="28" t="s">
        <v>120</v>
      </c>
    </row>
    <row r="152">
      <c r="A152" s="28" t="s">
        <v>679</v>
      </c>
      <c r="B152" s="28" t="s">
        <v>1402</v>
      </c>
      <c r="C152" s="28" t="s">
        <v>680</v>
      </c>
      <c r="D152" s="28" t="s">
        <v>198</v>
      </c>
    </row>
    <row r="153">
      <c r="A153" s="28" t="s">
        <v>683</v>
      </c>
      <c r="B153" s="28" t="s">
        <v>1403</v>
      </c>
      <c r="C153" s="28" t="s">
        <v>684</v>
      </c>
      <c r="D153" s="28" t="s">
        <v>685</v>
      </c>
    </row>
    <row r="154">
      <c r="A154" s="28" t="s">
        <v>688</v>
      </c>
      <c r="B154" s="28" t="s">
        <v>1404</v>
      </c>
      <c r="C154" s="28" t="s">
        <v>689</v>
      </c>
      <c r="D154" s="28" t="s">
        <v>690</v>
      </c>
    </row>
    <row r="155">
      <c r="A155" s="28" t="s">
        <v>1235</v>
      </c>
      <c r="B155" s="28" t="s">
        <v>1405</v>
      </c>
      <c r="C155" s="28" t="s">
        <v>694</v>
      </c>
      <c r="D155" s="28" t="s">
        <v>695</v>
      </c>
    </row>
    <row r="156">
      <c r="A156" s="28" t="s">
        <v>697</v>
      </c>
      <c r="B156" s="28" t="s">
        <v>1406</v>
      </c>
      <c r="C156" s="28" t="s">
        <v>698</v>
      </c>
      <c r="D156" s="28" t="s">
        <v>140</v>
      </c>
    </row>
    <row r="157">
      <c r="A157" s="28" t="s">
        <v>701</v>
      </c>
      <c r="B157" s="28" t="s">
        <v>1407</v>
      </c>
      <c r="C157" s="28" t="s">
        <v>702</v>
      </c>
      <c r="D157" s="28" t="s">
        <v>703</v>
      </c>
    </row>
    <row r="158">
      <c r="A158" s="28" t="s">
        <v>706</v>
      </c>
      <c r="B158" s="28" t="s">
        <v>1408</v>
      </c>
      <c r="C158" s="28" t="s">
        <v>707</v>
      </c>
      <c r="D158" s="28" t="s">
        <v>16</v>
      </c>
    </row>
    <row r="159">
      <c r="A159" s="28" t="s">
        <v>710</v>
      </c>
      <c r="B159" s="28" t="s">
        <v>1409</v>
      </c>
      <c r="C159" s="28" t="s">
        <v>711</v>
      </c>
      <c r="D159" s="28" t="s">
        <v>510</v>
      </c>
    </row>
    <row r="160">
      <c r="A160" s="28" t="s">
        <v>714</v>
      </c>
      <c r="B160" s="28" t="s">
        <v>1410</v>
      </c>
      <c r="C160" s="28" t="s">
        <v>715</v>
      </c>
      <c r="D160" s="28" t="s">
        <v>198</v>
      </c>
    </row>
    <row r="161">
      <c r="A161" s="28" t="s">
        <v>718</v>
      </c>
      <c r="B161" s="28" t="s">
        <v>1411</v>
      </c>
      <c r="C161" s="28" t="s">
        <v>719</v>
      </c>
      <c r="D161" s="28" t="s">
        <v>720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88"/>
    <col customWidth="1" min="2" max="2" width="24.88"/>
    <col customWidth="1" min="10" max="10" width="84.75"/>
  </cols>
  <sheetData>
    <row r="1">
      <c r="A1" s="2" t="s">
        <v>1</v>
      </c>
      <c r="B1" s="2" t="s">
        <v>2</v>
      </c>
      <c r="C1" s="3" t="s">
        <v>3</v>
      </c>
      <c r="D1" s="3" t="s">
        <v>4</v>
      </c>
      <c r="E1" s="3" t="s">
        <v>5</v>
      </c>
      <c r="F1" s="3" t="s">
        <v>6</v>
      </c>
      <c r="G1" s="3" t="s">
        <v>7</v>
      </c>
      <c r="H1" s="3" t="s">
        <v>8</v>
      </c>
      <c r="I1" s="3" t="s">
        <v>9</v>
      </c>
      <c r="J1" s="1" t="s">
        <v>10</v>
      </c>
      <c r="K1" s="5"/>
      <c r="L1" s="5"/>
      <c r="M1" s="5"/>
      <c r="N1" s="5"/>
      <c r="O1" s="5"/>
      <c r="P1" s="5"/>
      <c r="Q1" s="5"/>
      <c r="R1" s="5"/>
      <c r="S1" s="5"/>
      <c r="T1" s="5"/>
      <c r="U1" s="5"/>
      <c r="V1" s="5"/>
      <c r="W1" s="5"/>
      <c r="X1" s="5"/>
      <c r="Y1" s="5"/>
      <c r="Z1" s="5"/>
    </row>
    <row r="2" ht="45.0" customHeight="1">
      <c r="A2" s="29" t="s">
        <v>12</v>
      </c>
      <c r="B2" s="29" t="s">
        <v>13</v>
      </c>
      <c r="C2" s="40">
        <v>1.0</v>
      </c>
      <c r="D2" s="41" t="s">
        <v>14</v>
      </c>
      <c r="E2" s="25">
        <v>46044.0</v>
      </c>
      <c r="F2" s="42" t="s">
        <v>15</v>
      </c>
      <c r="G2" s="43">
        <f t="shared" ref="G2:G161" si="1">F2 + Time(0,15,0)</f>
        <v>0.4479166667</v>
      </c>
      <c r="H2" s="13" t="s">
        <v>16</v>
      </c>
      <c r="I2" s="41" t="s">
        <v>17</v>
      </c>
      <c r="J2" s="29" t="s">
        <v>18</v>
      </c>
      <c r="K2" s="12">
        <f>IFERROR(__xludf.DUMMYFUNCTION("COUNTUNIQUE($A$2:A2)"),1.0)</f>
        <v>1</v>
      </c>
    </row>
    <row r="3" ht="45.0" customHeight="1">
      <c r="A3" s="29" t="s">
        <v>1027</v>
      </c>
      <c r="B3" s="29" t="s">
        <v>21</v>
      </c>
      <c r="C3" s="40">
        <v>1.0</v>
      </c>
      <c r="D3" s="41" t="s">
        <v>14</v>
      </c>
      <c r="E3" s="25">
        <v>46044.0</v>
      </c>
      <c r="F3" s="39">
        <v>0.4479166666666667</v>
      </c>
      <c r="G3" s="43">
        <f t="shared" si="1"/>
        <v>0.4583333333</v>
      </c>
      <c r="H3" s="13" t="s">
        <v>22</v>
      </c>
      <c r="I3" s="41" t="s">
        <v>17</v>
      </c>
      <c r="J3" s="29" t="s">
        <v>23</v>
      </c>
      <c r="K3" s="12">
        <f>IFERROR(__xludf.DUMMYFUNCTION("COUNTUNIQUE($A$2:A3)"),2.0)</f>
        <v>2</v>
      </c>
    </row>
    <row r="4" ht="45.0" customHeight="1">
      <c r="A4" s="29" t="s">
        <v>25</v>
      </c>
      <c r="B4" s="29" t="s">
        <v>26</v>
      </c>
      <c r="C4" s="40">
        <v>1.0</v>
      </c>
      <c r="D4" s="41" t="s">
        <v>14</v>
      </c>
      <c r="E4" s="25">
        <v>46044.0</v>
      </c>
      <c r="F4" s="39">
        <v>0.4583333333333333</v>
      </c>
      <c r="G4" s="43">
        <f t="shared" si="1"/>
        <v>0.46875</v>
      </c>
      <c r="H4" s="13" t="s">
        <v>27</v>
      </c>
      <c r="I4" s="41" t="s">
        <v>17</v>
      </c>
      <c r="J4" s="29" t="s">
        <v>28</v>
      </c>
      <c r="K4" s="12">
        <f>IFERROR(__xludf.DUMMYFUNCTION("COUNTUNIQUE($A$2:A4)"),3.0)</f>
        <v>3</v>
      </c>
    </row>
    <row r="5" ht="45.0" customHeight="1">
      <c r="A5" s="29" t="s">
        <v>30</v>
      </c>
      <c r="B5" s="29" t="s">
        <v>31</v>
      </c>
      <c r="C5" s="40">
        <v>1.0</v>
      </c>
      <c r="D5" s="41" t="s">
        <v>14</v>
      </c>
      <c r="E5" s="25">
        <v>46044.0</v>
      </c>
      <c r="F5" s="39">
        <v>0.46875</v>
      </c>
      <c r="G5" s="43">
        <f t="shared" si="1"/>
        <v>0.4791666667</v>
      </c>
      <c r="H5" s="13" t="s">
        <v>32</v>
      </c>
      <c r="I5" s="41" t="s">
        <v>17</v>
      </c>
      <c r="J5" s="29" t="s">
        <v>33</v>
      </c>
      <c r="K5" s="12">
        <f>IFERROR(__xludf.DUMMYFUNCTION("COUNTUNIQUE($A$2:A5)"),4.0)</f>
        <v>4</v>
      </c>
    </row>
    <row r="6" ht="45.0" customHeight="1">
      <c r="A6" s="29" t="s">
        <v>35</v>
      </c>
      <c r="B6" s="29" t="s">
        <v>36</v>
      </c>
      <c r="C6" s="40">
        <v>1.0</v>
      </c>
      <c r="D6" s="41" t="s">
        <v>14</v>
      </c>
      <c r="E6" s="25">
        <v>46044.0</v>
      </c>
      <c r="F6" s="39">
        <v>0.4791666666666667</v>
      </c>
      <c r="G6" s="43">
        <f t="shared" si="1"/>
        <v>0.4895833333</v>
      </c>
      <c r="H6" s="13" t="s">
        <v>37</v>
      </c>
      <c r="I6" s="41" t="s">
        <v>17</v>
      </c>
      <c r="J6" s="29" t="s">
        <v>38</v>
      </c>
      <c r="K6" s="12">
        <f>IFERROR(__xludf.DUMMYFUNCTION("COUNTUNIQUE($A$2:A6)"),5.0)</f>
        <v>5</v>
      </c>
    </row>
    <row r="7" ht="45.0" customHeight="1">
      <c r="A7" s="29" t="s">
        <v>1032</v>
      </c>
      <c r="B7" s="29" t="s">
        <v>41</v>
      </c>
      <c r="C7" s="40">
        <v>1.0</v>
      </c>
      <c r="D7" s="41" t="s">
        <v>14</v>
      </c>
      <c r="E7" s="25">
        <v>46044.0</v>
      </c>
      <c r="F7" s="39">
        <v>0.4895833333333333</v>
      </c>
      <c r="G7" s="43">
        <f t="shared" si="1"/>
        <v>0.5</v>
      </c>
      <c r="H7" s="13" t="s">
        <v>37</v>
      </c>
      <c r="I7" s="41" t="s">
        <v>17</v>
      </c>
      <c r="J7" s="29" t="s">
        <v>42</v>
      </c>
      <c r="K7" s="12">
        <f>IFERROR(__xludf.DUMMYFUNCTION("COUNTUNIQUE($A$2:A7)"),6.0)</f>
        <v>6</v>
      </c>
    </row>
    <row r="8" ht="45.0" customHeight="1">
      <c r="A8" s="29" t="s">
        <v>44</v>
      </c>
      <c r="B8" s="29" t="s">
        <v>45</v>
      </c>
      <c r="C8" s="40">
        <v>1.0</v>
      </c>
      <c r="D8" s="41" t="s">
        <v>14</v>
      </c>
      <c r="E8" s="25">
        <v>46044.0</v>
      </c>
      <c r="F8" s="39">
        <v>0.5</v>
      </c>
      <c r="G8" s="43">
        <f t="shared" si="1"/>
        <v>0.5104166667</v>
      </c>
      <c r="H8" s="13" t="s">
        <v>37</v>
      </c>
      <c r="I8" s="41" t="s">
        <v>17</v>
      </c>
      <c r="J8" s="29" t="s">
        <v>46</v>
      </c>
      <c r="K8" s="12">
        <f>IFERROR(__xludf.DUMMYFUNCTION("COUNTUNIQUE($A$2:A8)"),7.0)</f>
        <v>7</v>
      </c>
    </row>
    <row r="9" ht="45.0" customHeight="1">
      <c r="A9" s="29" t="s">
        <v>1036</v>
      </c>
      <c r="B9" s="29" t="s">
        <v>1248</v>
      </c>
      <c r="C9" s="40">
        <v>1.0</v>
      </c>
      <c r="D9" s="41" t="s">
        <v>14</v>
      </c>
      <c r="E9" s="25">
        <v>46044.0</v>
      </c>
      <c r="F9" s="39">
        <v>0.5104166666666666</v>
      </c>
      <c r="G9" s="43">
        <f t="shared" si="1"/>
        <v>0.5208333333</v>
      </c>
      <c r="H9" s="13" t="s">
        <v>178</v>
      </c>
      <c r="I9" s="41" t="s">
        <v>17</v>
      </c>
      <c r="J9" s="29" t="s">
        <v>1412</v>
      </c>
      <c r="K9" s="12">
        <f>IFERROR(__xludf.DUMMYFUNCTION("COUNTUNIQUE($A$2:A9)"),8.0)</f>
        <v>8</v>
      </c>
    </row>
    <row r="10" ht="45.0" customHeight="1">
      <c r="A10" s="29" t="s">
        <v>48</v>
      </c>
      <c r="B10" s="29" t="s">
        <v>49</v>
      </c>
      <c r="C10" s="40">
        <v>1.0</v>
      </c>
      <c r="D10" s="41" t="s">
        <v>14</v>
      </c>
      <c r="E10" s="25">
        <v>46044.0</v>
      </c>
      <c r="F10" s="26">
        <v>0.5416666666666666</v>
      </c>
      <c r="G10" s="43">
        <f t="shared" si="1"/>
        <v>0.5520833333</v>
      </c>
      <c r="H10" s="13" t="s">
        <v>50</v>
      </c>
      <c r="I10" s="41" t="s">
        <v>17</v>
      </c>
      <c r="J10" s="29" t="s">
        <v>51</v>
      </c>
      <c r="K10" s="12">
        <f>IFERROR(__xludf.DUMMYFUNCTION("COUNTUNIQUE($A$2:A10)"),9.0)</f>
        <v>9</v>
      </c>
    </row>
    <row r="11" ht="45.0" customHeight="1">
      <c r="A11" s="29" t="s">
        <v>53</v>
      </c>
      <c r="B11" s="29" t="s">
        <v>54</v>
      </c>
      <c r="C11" s="40">
        <v>1.0</v>
      </c>
      <c r="D11" s="41" t="s">
        <v>14</v>
      </c>
      <c r="E11" s="25">
        <v>46044.0</v>
      </c>
      <c r="F11" s="26">
        <v>0.5520833333333334</v>
      </c>
      <c r="G11" s="43">
        <f t="shared" si="1"/>
        <v>0.5625</v>
      </c>
      <c r="H11" s="13" t="s">
        <v>55</v>
      </c>
      <c r="I11" s="41" t="s">
        <v>17</v>
      </c>
      <c r="J11" s="29" t="s">
        <v>56</v>
      </c>
      <c r="K11" s="12">
        <f>IFERROR(__xludf.DUMMYFUNCTION("COUNTUNIQUE($A$2:A11)"),10.0)</f>
        <v>10</v>
      </c>
    </row>
    <row r="12" ht="45.0" customHeight="1">
      <c r="A12" s="29" t="s">
        <v>58</v>
      </c>
      <c r="B12" s="29" t="s">
        <v>1252</v>
      </c>
      <c r="C12" s="40">
        <v>1.0</v>
      </c>
      <c r="D12" s="41" t="s">
        <v>14</v>
      </c>
      <c r="E12" s="25">
        <v>46044.0</v>
      </c>
      <c r="F12" s="26">
        <v>0.5625</v>
      </c>
      <c r="G12" s="43">
        <f t="shared" si="1"/>
        <v>0.5729166667</v>
      </c>
      <c r="H12" s="13" t="s">
        <v>60</v>
      </c>
      <c r="I12" s="41" t="s">
        <v>17</v>
      </c>
      <c r="J12" s="29" t="s">
        <v>61</v>
      </c>
      <c r="K12" s="12">
        <f>IFERROR(__xludf.DUMMYFUNCTION("COUNTUNIQUE($A$2:A12)"),11.0)</f>
        <v>11</v>
      </c>
    </row>
    <row r="13" ht="45.0" customHeight="1">
      <c r="A13" s="29" t="s">
        <v>63</v>
      </c>
      <c r="B13" s="29" t="s">
        <v>64</v>
      </c>
      <c r="C13" s="40">
        <v>1.0</v>
      </c>
      <c r="D13" s="41" t="s">
        <v>14</v>
      </c>
      <c r="E13" s="25">
        <v>46044.0</v>
      </c>
      <c r="F13" s="26">
        <v>0.5729166666666666</v>
      </c>
      <c r="G13" s="43">
        <f t="shared" si="1"/>
        <v>0.5833333333</v>
      </c>
      <c r="H13" s="13" t="s">
        <v>65</v>
      </c>
      <c r="I13" s="41" t="s">
        <v>17</v>
      </c>
      <c r="J13" s="29" t="s">
        <v>66</v>
      </c>
      <c r="K13" s="12">
        <f>IFERROR(__xludf.DUMMYFUNCTION("COUNTUNIQUE($A$2:A13)"),12.0)</f>
        <v>12</v>
      </c>
    </row>
    <row r="14" ht="45.0" customHeight="1">
      <c r="A14" s="29" t="s">
        <v>68</v>
      </c>
      <c r="B14" s="29" t="s">
        <v>69</v>
      </c>
      <c r="C14" s="40">
        <v>1.0</v>
      </c>
      <c r="D14" s="41" t="s">
        <v>14</v>
      </c>
      <c r="E14" s="25">
        <v>46044.0</v>
      </c>
      <c r="F14" s="26">
        <v>0.5833333333333334</v>
      </c>
      <c r="G14" s="43">
        <f t="shared" si="1"/>
        <v>0.59375</v>
      </c>
      <c r="H14" s="13" t="s">
        <v>70</v>
      </c>
      <c r="I14" s="41" t="s">
        <v>17</v>
      </c>
      <c r="J14" s="29" t="s">
        <v>71</v>
      </c>
      <c r="K14" s="12">
        <f>IFERROR(__xludf.DUMMYFUNCTION("COUNTUNIQUE($A$2:A14)"),13.0)</f>
        <v>13</v>
      </c>
    </row>
    <row r="15" ht="45.0" customHeight="1">
      <c r="A15" s="29" t="s">
        <v>73</v>
      </c>
      <c r="B15" s="29" t="s">
        <v>74</v>
      </c>
      <c r="C15" s="40">
        <v>1.0</v>
      </c>
      <c r="D15" s="41" t="s">
        <v>14</v>
      </c>
      <c r="E15" s="25">
        <v>46044.0</v>
      </c>
      <c r="F15" s="26">
        <v>0.4375</v>
      </c>
      <c r="G15" s="43">
        <f t="shared" si="1"/>
        <v>0.4479166667</v>
      </c>
      <c r="H15" s="13" t="s">
        <v>75</v>
      </c>
      <c r="I15" s="41" t="s">
        <v>17</v>
      </c>
      <c r="J15" s="29" t="s">
        <v>76</v>
      </c>
      <c r="K15" s="12">
        <f>IFERROR(__xludf.DUMMYFUNCTION("COUNTUNIQUE($A$2:A15)"),14.0)</f>
        <v>14</v>
      </c>
    </row>
    <row r="16" ht="45.0" customHeight="1">
      <c r="A16" s="29" t="s">
        <v>78</v>
      </c>
      <c r="B16" s="29" t="s">
        <v>79</v>
      </c>
      <c r="C16" s="40">
        <v>1.0</v>
      </c>
      <c r="D16" s="41" t="s">
        <v>14</v>
      </c>
      <c r="E16" s="25">
        <v>46044.0</v>
      </c>
      <c r="F16" s="26">
        <v>0.4479166666666667</v>
      </c>
      <c r="G16" s="43">
        <f t="shared" si="1"/>
        <v>0.4583333333</v>
      </c>
      <c r="H16" s="13" t="s">
        <v>80</v>
      </c>
      <c r="I16" s="41" t="s">
        <v>17</v>
      </c>
      <c r="J16" s="29" t="s">
        <v>81</v>
      </c>
      <c r="K16" s="12">
        <f>IFERROR(__xludf.DUMMYFUNCTION("COUNTUNIQUE($A$2:A16)"),15.0)</f>
        <v>15</v>
      </c>
    </row>
    <row r="17" ht="45.0" customHeight="1">
      <c r="A17" s="29" t="s">
        <v>83</v>
      </c>
      <c r="B17" s="29" t="s">
        <v>84</v>
      </c>
      <c r="C17" s="40">
        <v>1.0</v>
      </c>
      <c r="D17" s="41" t="s">
        <v>14</v>
      </c>
      <c r="E17" s="25">
        <v>46044.0</v>
      </c>
      <c r="F17" s="26">
        <v>0.4583333333333333</v>
      </c>
      <c r="G17" s="43">
        <f t="shared" si="1"/>
        <v>0.46875</v>
      </c>
      <c r="H17" s="13" t="s">
        <v>85</v>
      </c>
      <c r="I17" s="41" t="s">
        <v>17</v>
      </c>
      <c r="J17" s="29" t="s">
        <v>86</v>
      </c>
      <c r="K17" s="12">
        <f>IFERROR(__xludf.DUMMYFUNCTION("COUNTUNIQUE($A$2:A17)"),16.0)</f>
        <v>16</v>
      </c>
    </row>
    <row r="18" ht="45.0" customHeight="1">
      <c r="A18" s="29" t="s">
        <v>88</v>
      </c>
      <c r="B18" s="29" t="s">
        <v>89</v>
      </c>
      <c r="C18" s="40">
        <v>1.0</v>
      </c>
      <c r="D18" s="41" t="s">
        <v>14</v>
      </c>
      <c r="E18" s="25">
        <v>46044.0</v>
      </c>
      <c r="F18" s="26">
        <v>0.46875</v>
      </c>
      <c r="G18" s="43">
        <f t="shared" si="1"/>
        <v>0.4791666667</v>
      </c>
      <c r="H18" s="13" t="s">
        <v>90</v>
      </c>
      <c r="I18" s="41" t="s">
        <v>17</v>
      </c>
      <c r="J18" s="29" t="s">
        <v>91</v>
      </c>
      <c r="K18" s="12">
        <f>IFERROR(__xludf.DUMMYFUNCTION("COUNTUNIQUE($A$2:A18)"),17.0)</f>
        <v>17</v>
      </c>
    </row>
    <row r="19" ht="45.0" customHeight="1">
      <c r="A19" s="29" t="s">
        <v>93</v>
      </c>
      <c r="B19" s="29" t="s">
        <v>94</v>
      </c>
      <c r="C19" s="40">
        <v>1.0</v>
      </c>
      <c r="D19" s="41" t="s">
        <v>14</v>
      </c>
      <c r="E19" s="25">
        <v>46044.0</v>
      </c>
      <c r="F19" s="26">
        <v>0.4791666666666667</v>
      </c>
      <c r="G19" s="43">
        <f t="shared" si="1"/>
        <v>0.4895833333</v>
      </c>
      <c r="H19" s="13" t="s">
        <v>95</v>
      </c>
      <c r="I19" s="41" t="s">
        <v>17</v>
      </c>
      <c r="J19" s="29" t="s">
        <v>96</v>
      </c>
      <c r="K19" s="12">
        <f>IFERROR(__xludf.DUMMYFUNCTION("COUNTUNIQUE($A$2:A19)"),18.0)</f>
        <v>18</v>
      </c>
    </row>
    <row r="20" ht="45.0" customHeight="1">
      <c r="A20" s="29" t="s">
        <v>98</v>
      </c>
      <c r="B20" s="29" t="s">
        <v>99</v>
      </c>
      <c r="C20" s="40">
        <v>1.0</v>
      </c>
      <c r="D20" s="41" t="s">
        <v>14</v>
      </c>
      <c r="E20" s="25">
        <v>46044.0</v>
      </c>
      <c r="F20" s="26">
        <v>0.4895833333333333</v>
      </c>
      <c r="G20" s="43">
        <f t="shared" si="1"/>
        <v>0.5</v>
      </c>
      <c r="H20" s="13" t="s">
        <v>100</v>
      </c>
      <c r="I20" s="41" t="s">
        <v>17</v>
      </c>
      <c r="J20" s="29" t="s">
        <v>101</v>
      </c>
      <c r="K20" s="12">
        <f>IFERROR(__xludf.DUMMYFUNCTION("COUNTUNIQUE($A$2:A20)"),19.0)</f>
        <v>19</v>
      </c>
    </row>
    <row r="21" ht="45.0" customHeight="1">
      <c r="A21" s="29" t="s">
        <v>103</v>
      </c>
      <c r="B21" s="29" t="s">
        <v>104</v>
      </c>
      <c r="C21" s="40">
        <v>1.0</v>
      </c>
      <c r="D21" s="41" t="s">
        <v>14</v>
      </c>
      <c r="E21" s="25">
        <v>46044.0</v>
      </c>
      <c r="F21" s="26">
        <v>0.5</v>
      </c>
      <c r="G21" s="43">
        <f t="shared" si="1"/>
        <v>0.5104166667</v>
      </c>
      <c r="H21" s="13" t="s">
        <v>105</v>
      </c>
      <c r="I21" s="41" t="s">
        <v>17</v>
      </c>
      <c r="J21" s="29" t="s">
        <v>106</v>
      </c>
      <c r="K21" s="12">
        <f>IFERROR(__xludf.DUMMYFUNCTION("COUNTUNIQUE($A$2:A21)"),20.0)</f>
        <v>20</v>
      </c>
    </row>
    <row r="22" ht="45.0" customHeight="1">
      <c r="A22" s="29" t="s">
        <v>108</v>
      </c>
      <c r="B22" s="29" t="s">
        <v>109</v>
      </c>
      <c r="C22" s="40">
        <v>1.0</v>
      </c>
      <c r="D22" s="41" t="s">
        <v>14</v>
      </c>
      <c r="E22" s="25">
        <v>46044.0</v>
      </c>
      <c r="F22" s="26">
        <v>0.5104166666666666</v>
      </c>
      <c r="G22" s="43">
        <f t="shared" si="1"/>
        <v>0.5208333333</v>
      </c>
      <c r="H22" s="13" t="s">
        <v>110</v>
      </c>
      <c r="I22" s="41" t="s">
        <v>17</v>
      </c>
      <c r="J22" s="29" t="s">
        <v>111</v>
      </c>
      <c r="K22" s="12">
        <f>IFERROR(__xludf.DUMMYFUNCTION("COUNTUNIQUE($A$2:A22)"),21.0)</f>
        <v>21</v>
      </c>
    </row>
    <row r="23" ht="45.0" customHeight="1">
      <c r="A23" s="29" t="s">
        <v>113</v>
      </c>
      <c r="B23" s="29" t="s">
        <v>114</v>
      </c>
      <c r="C23" s="40">
        <v>1.0</v>
      </c>
      <c r="D23" s="41" t="s">
        <v>14</v>
      </c>
      <c r="E23" s="25">
        <v>46044.0</v>
      </c>
      <c r="F23" s="26">
        <v>0.5416666666666666</v>
      </c>
      <c r="G23" s="43">
        <f t="shared" si="1"/>
        <v>0.5520833333</v>
      </c>
      <c r="H23" s="13" t="s">
        <v>115</v>
      </c>
      <c r="I23" s="41" t="s">
        <v>17</v>
      </c>
      <c r="J23" s="29" t="s">
        <v>116</v>
      </c>
      <c r="K23" s="12">
        <f>IFERROR(__xludf.DUMMYFUNCTION("COUNTUNIQUE($A$2:A23)"),22.0)</f>
        <v>22</v>
      </c>
    </row>
    <row r="24" ht="45.0" customHeight="1">
      <c r="A24" s="29" t="s">
        <v>1058</v>
      </c>
      <c r="B24" s="29" t="s">
        <v>119</v>
      </c>
      <c r="C24" s="40">
        <v>1.0</v>
      </c>
      <c r="D24" s="41" t="s">
        <v>14</v>
      </c>
      <c r="E24" s="25">
        <v>46044.0</v>
      </c>
      <c r="F24" s="26">
        <v>0.5520833333333334</v>
      </c>
      <c r="G24" s="43">
        <f t="shared" si="1"/>
        <v>0.5625</v>
      </c>
      <c r="H24" s="13" t="s">
        <v>120</v>
      </c>
      <c r="I24" s="41" t="s">
        <v>17</v>
      </c>
      <c r="J24" s="29" t="s">
        <v>121</v>
      </c>
      <c r="K24" s="12">
        <f>IFERROR(__xludf.DUMMYFUNCTION("COUNTUNIQUE($A$2:A24)"),23.0)</f>
        <v>23</v>
      </c>
    </row>
    <row r="25" ht="45.0" customHeight="1">
      <c r="A25" s="29" t="s">
        <v>123</v>
      </c>
      <c r="B25" s="29" t="s">
        <v>124</v>
      </c>
      <c r="C25" s="40">
        <v>1.0</v>
      </c>
      <c r="D25" s="41" t="s">
        <v>14</v>
      </c>
      <c r="E25" s="25">
        <v>46044.0</v>
      </c>
      <c r="F25" s="26">
        <v>0.5625</v>
      </c>
      <c r="G25" s="43">
        <f t="shared" si="1"/>
        <v>0.5729166667</v>
      </c>
      <c r="H25" s="13" t="s">
        <v>125</v>
      </c>
      <c r="I25" s="41" t="s">
        <v>17</v>
      </c>
      <c r="J25" s="29" t="s">
        <v>1413</v>
      </c>
      <c r="K25" s="12">
        <f>IFERROR(__xludf.DUMMYFUNCTION("COUNTUNIQUE($A$2:A25)"),24.0)</f>
        <v>24</v>
      </c>
    </row>
    <row r="26" ht="45.0" customHeight="1">
      <c r="A26" s="29" t="s">
        <v>128</v>
      </c>
      <c r="B26" s="29" t="s">
        <v>129</v>
      </c>
      <c r="C26" s="40">
        <v>1.0</v>
      </c>
      <c r="D26" s="41" t="s">
        <v>14</v>
      </c>
      <c r="E26" s="25">
        <v>46044.0</v>
      </c>
      <c r="F26" s="26">
        <v>0.5729166666666666</v>
      </c>
      <c r="G26" s="43">
        <f t="shared" si="1"/>
        <v>0.5833333333</v>
      </c>
      <c r="H26" s="13" t="s">
        <v>130</v>
      </c>
      <c r="I26" s="41" t="s">
        <v>17</v>
      </c>
      <c r="J26" s="29" t="s">
        <v>131</v>
      </c>
      <c r="K26" s="12">
        <f>IFERROR(__xludf.DUMMYFUNCTION("COUNTUNIQUE($A$2:A26)"),25.0)</f>
        <v>25</v>
      </c>
    </row>
    <row r="27" ht="45.0" customHeight="1">
      <c r="A27" s="29" t="s">
        <v>1064</v>
      </c>
      <c r="B27" s="29" t="s">
        <v>134</v>
      </c>
      <c r="C27" s="40">
        <v>1.0</v>
      </c>
      <c r="D27" s="41" t="s">
        <v>14</v>
      </c>
      <c r="E27" s="25">
        <v>46044.0</v>
      </c>
      <c r="F27" s="26">
        <v>0.5833333333333334</v>
      </c>
      <c r="G27" s="43">
        <f t="shared" si="1"/>
        <v>0.59375</v>
      </c>
      <c r="H27" s="13" t="s">
        <v>135</v>
      </c>
      <c r="I27" s="41" t="s">
        <v>17</v>
      </c>
      <c r="J27" s="29" t="s">
        <v>136</v>
      </c>
      <c r="K27" s="12">
        <f>IFERROR(__xludf.DUMMYFUNCTION("COUNTUNIQUE($A$2:A27)"),26.0)</f>
        <v>26</v>
      </c>
    </row>
    <row r="28" ht="45.0" customHeight="1">
      <c r="A28" s="29" t="s">
        <v>138</v>
      </c>
      <c r="B28" s="29" t="s">
        <v>139</v>
      </c>
      <c r="C28" s="40">
        <v>1.0</v>
      </c>
      <c r="D28" s="41" t="s">
        <v>14</v>
      </c>
      <c r="E28" s="25">
        <v>46044.0</v>
      </c>
      <c r="F28" s="26">
        <v>0.59375</v>
      </c>
      <c r="G28" s="43">
        <f t="shared" si="1"/>
        <v>0.6041666667</v>
      </c>
      <c r="H28" s="13" t="s">
        <v>140</v>
      </c>
      <c r="I28" s="41" t="s">
        <v>17</v>
      </c>
      <c r="J28" s="29" t="s">
        <v>141</v>
      </c>
      <c r="K28" s="12">
        <f>IFERROR(__xludf.DUMMYFUNCTION("COUNTUNIQUE($A$2:A28)"),27.0)</f>
        <v>27</v>
      </c>
    </row>
    <row r="29" ht="45.0" customHeight="1">
      <c r="A29" s="29" t="s">
        <v>143</v>
      </c>
      <c r="B29" s="29" t="s">
        <v>144</v>
      </c>
      <c r="C29" s="40">
        <v>1.0</v>
      </c>
      <c r="D29" s="41" t="s">
        <v>14</v>
      </c>
      <c r="E29" s="25">
        <v>46044.0</v>
      </c>
      <c r="F29" s="26">
        <v>0.6145833333333334</v>
      </c>
      <c r="G29" s="43">
        <f t="shared" si="1"/>
        <v>0.625</v>
      </c>
      <c r="H29" s="13" t="s">
        <v>145</v>
      </c>
      <c r="I29" s="41" t="s">
        <v>17</v>
      </c>
      <c r="J29" s="29" t="s">
        <v>146</v>
      </c>
      <c r="K29" s="12">
        <f>IFERROR(__xludf.DUMMYFUNCTION("COUNTUNIQUE($A$2:A29)"),28.0)</f>
        <v>28</v>
      </c>
    </row>
    <row r="30" ht="45.0" customHeight="1">
      <c r="A30" s="29" t="s">
        <v>148</v>
      </c>
      <c r="B30" s="29" t="s">
        <v>149</v>
      </c>
      <c r="C30" s="40">
        <v>1.0</v>
      </c>
      <c r="D30" s="41" t="s">
        <v>14</v>
      </c>
      <c r="E30" s="25">
        <v>46044.0</v>
      </c>
      <c r="F30" s="26">
        <v>0.625</v>
      </c>
      <c r="G30" s="43">
        <f t="shared" si="1"/>
        <v>0.6354166667</v>
      </c>
      <c r="H30" s="13" t="s">
        <v>150</v>
      </c>
      <c r="I30" s="41" t="s">
        <v>17</v>
      </c>
      <c r="J30" s="29" t="s">
        <v>151</v>
      </c>
      <c r="K30" s="12">
        <f>IFERROR(__xludf.DUMMYFUNCTION("COUNTUNIQUE($A$2:A30)"),29.0)</f>
        <v>29</v>
      </c>
    </row>
    <row r="31" ht="45.0" customHeight="1">
      <c r="A31" s="29" t="s">
        <v>153</v>
      </c>
      <c r="B31" s="29" t="s">
        <v>154</v>
      </c>
      <c r="C31" s="40">
        <v>1.0</v>
      </c>
      <c r="D31" s="41" t="s">
        <v>14</v>
      </c>
      <c r="E31" s="25">
        <v>46044.0</v>
      </c>
      <c r="F31" s="26">
        <v>0.6354166666666666</v>
      </c>
      <c r="G31" s="43">
        <f t="shared" si="1"/>
        <v>0.6458333333</v>
      </c>
      <c r="H31" s="13" t="s">
        <v>155</v>
      </c>
      <c r="I31" s="41" t="s">
        <v>17</v>
      </c>
      <c r="J31" s="29" t="s">
        <v>156</v>
      </c>
      <c r="K31" s="12">
        <f>IFERROR(__xludf.DUMMYFUNCTION("COUNTUNIQUE($A$2:A31)"),30.0)</f>
        <v>30</v>
      </c>
    </row>
    <row r="32" ht="45.0" customHeight="1">
      <c r="A32" s="29" t="s">
        <v>158</v>
      </c>
      <c r="B32" s="29" t="s">
        <v>159</v>
      </c>
      <c r="C32" s="40">
        <v>1.0</v>
      </c>
      <c r="D32" s="41" t="s">
        <v>14</v>
      </c>
      <c r="E32" s="25">
        <v>46044.0</v>
      </c>
      <c r="F32" s="26">
        <v>0.6458333333333334</v>
      </c>
      <c r="G32" s="43">
        <f t="shared" si="1"/>
        <v>0.65625</v>
      </c>
      <c r="H32" s="13" t="s">
        <v>160</v>
      </c>
      <c r="I32" s="41" t="s">
        <v>17</v>
      </c>
      <c r="J32" s="29" t="s">
        <v>161</v>
      </c>
      <c r="K32" s="12">
        <f>IFERROR(__xludf.DUMMYFUNCTION("COUNTUNIQUE($A$2:A32)"),31.0)</f>
        <v>31</v>
      </c>
    </row>
    <row r="33" ht="45.0" customHeight="1">
      <c r="A33" s="29" t="s">
        <v>163</v>
      </c>
      <c r="B33" s="29" t="s">
        <v>164</v>
      </c>
      <c r="C33" s="40">
        <v>1.0</v>
      </c>
      <c r="D33" s="41" t="s">
        <v>14</v>
      </c>
      <c r="E33" s="25">
        <v>46044.0</v>
      </c>
      <c r="F33" s="26">
        <v>0.6666666666666666</v>
      </c>
      <c r="G33" s="43">
        <f t="shared" si="1"/>
        <v>0.6770833333</v>
      </c>
      <c r="H33" s="13" t="s">
        <v>37</v>
      </c>
      <c r="I33" s="41" t="s">
        <v>17</v>
      </c>
      <c r="J33" s="29" t="s">
        <v>165</v>
      </c>
      <c r="K33" s="12">
        <f>IFERROR(__xludf.DUMMYFUNCTION("COUNTUNIQUE($A$2:A33)"),32.0)</f>
        <v>32</v>
      </c>
    </row>
    <row r="34" ht="45.0" customHeight="1">
      <c r="A34" s="29" t="s">
        <v>167</v>
      </c>
      <c r="B34" s="29" t="s">
        <v>168</v>
      </c>
      <c r="C34" s="40">
        <v>1.0</v>
      </c>
      <c r="D34" s="41" t="s">
        <v>14</v>
      </c>
      <c r="E34" s="25">
        <v>46044.0</v>
      </c>
      <c r="F34" s="26">
        <v>0.6770833333333334</v>
      </c>
      <c r="G34" s="43">
        <f t="shared" si="1"/>
        <v>0.6875</v>
      </c>
      <c r="H34" s="13" t="s">
        <v>120</v>
      </c>
      <c r="I34" s="41" t="s">
        <v>17</v>
      </c>
      <c r="J34" s="29" t="s">
        <v>169</v>
      </c>
      <c r="K34" s="12">
        <f>IFERROR(__xludf.DUMMYFUNCTION("COUNTUNIQUE($A$2:A34)"),33.0)</f>
        <v>33</v>
      </c>
    </row>
    <row r="35" ht="45.0" customHeight="1">
      <c r="A35" s="29" t="s">
        <v>1077</v>
      </c>
      <c r="B35" s="29" t="s">
        <v>172</v>
      </c>
      <c r="C35" s="40">
        <v>1.0</v>
      </c>
      <c r="D35" s="41" t="s">
        <v>14</v>
      </c>
      <c r="E35" s="25">
        <v>46044.0</v>
      </c>
      <c r="F35" s="26">
        <v>0.6875</v>
      </c>
      <c r="G35" s="43">
        <f t="shared" si="1"/>
        <v>0.6979166667</v>
      </c>
      <c r="H35" s="13" t="s">
        <v>173</v>
      </c>
      <c r="I35" s="41" t="s">
        <v>17</v>
      </c>
      <c r="J35" s="29" t="s">
        <v>174</v>
      </c>
      <c r="K35" s="12">
        <f>IFERROR(__xludf.DUMMYFUNCTION("COUNTUNIQUE($A$2:A35)"),34.0)</f>
        <v>34</v>
      </c>
    </row>
    <row r="36" ht="45.0" customHeight="1">
      <c r="A36" s="29" t="s">
        <v>176</v>
      </c>
      <c r="B36" s="29" t="s">
        <v>177</v>
      </c>
      <c r="C36" s="40">
        <v>1.0</v>
      </c>
      <c r="D36" s="41" t="s">
        <v>14</v>
      </c>
      <c r="E36" s="25">
        <v>46044.0</v>
      </c>
      <c r="F36" s="26">
        <v>0.6979166666666666</v>
      </c>
      <c r="G36" s="43">
        <f t="shared" si="1"/>
        <v>0.7083333333</v>
      </c>
      <c r="H36" s="13" t="s">
        <v>178</v>
      </c>
      <c r="I36" s="41" t="s">
        <v>17</v>
      </c>
      <c r="J36" s="29" t="s">
        <v>179</v>
      </c>
      <c r="K36" s="12">
        <f>IFERROR(__xludf.DUMMYFUNCTION("COUNTUNIQUE($A$2:A36)"),35.0)</f>
        <v>35</v>
      </c>
    </row>
    <row r="37" ht="45.0" customHeight="1">
      <c r="A37" s="29" t="s">
        <v>181</v>
      </c>
      <c r="B37" s="29" t="s">
        <v>182</v>
      </c>
      <c r="C37" s="40">
        <v>1.0</v>
      </c>
      <c r="D37" s="41" t="s">
        <v>14</v>
      </c>
      <c r="E37" s="25">
        <v>46044.0</v>
      </c>
      <c r="F37" s="26">
        <v>0.7083333333333334</v>
      </c>
      <c r="G37" s="43">
        <f t="shared" si="1"/>
        <v>0.71875</v>
      </c>
      <c r="H37" s="13" t="s">
        <v>183</v>
      </c>
      <c r="I37" s="41" t="s">
        <v>17</v>
      </c>
      <c r="J37" s="29" t="s">
        <v>184</v>
      </c>
      <c r="K37" s="12">
        <f>IFERROR(__xludf.DUMMYFUNCTION("COUNTUNIQUE($A$2:A37)"),36.0)</f>
        <v>36</v>
      </c>
    </row>
    <row r="38" ht="45.0" customHeight="1">
      <c r="A38" s="29" t="s">
        <v>186</v>
      </c>
      <c r="B38" s="29" t="s">
        <v>187</v>
      </c>
      <c r="C38" s="40">
        <v>1.0</v>
      </c>
      <c r="D38" s="41" t="s">
        <v>14</v>
      </c>
      <c r="E38" s="25">
        <v>46044.0</v>
      </c>
      <c r="F38" s="26">
        <v>0.71875</v>
      </c>
      <c r="G38" s="43">
        <f t="shared" si="1"/>
        <v>0.7291666667</v>
      </c>
      <c r="H38" s="13" t="s">
        <v>188</v>
      </c>
      <c r="I38" s="41" t="s">
        <v>17</v>
      </c>
      <c r="J38" s="29" t="s">
        <v>189</v>
      </c>
      <c r="K38" s="12">
        <f>IFERROR(__xludf.DUMMYFUNCTION("COUNTUNIQUE($A$2:A38)"),37.0)</f>
        <v>37</v>
      </c>
    </row>
    <row r="39" ht="45.0" customHeight="1">
      <c r="A39" s="29" t="s">
        <v>688</v>
      </c>
      <c r="B39" s="29" t="s">
        <v>689</v>
      </c>
      <c r="C39" s="40">
        <v>1.0</v>
      </c>
      <c r="D39" s="41" t="s">
        <v>14</v>
      </c>
      <c r="E39" s="25">
        <v>46044.0</v>
      </c>
      <c r="F39" s="26">
        <v>0.5833333333333334</v>
      </c>
      <c r="G39" s="43">
        <f t="shared" si="1"/>
        <v>0.59375</v>
      </c>
      <c r="H39" s="13" t="s">
        <v>198</v>
      </c>
      <c r="I39" s="41" t="s">
        <v>17</v>
      </c>
      <c r="J39" s="29" t="s">
        <v>691</v>
      </c>
      <c r="K39" s="12">
        <f>IFERROR(__xludf.DUMMYFUNCTION("COUNTUNIQUE($A$2:A39)"),38.0)</f>
        <v>38</v>
      </c>
    </row>
    <row r="40" ht="45.0" customHeight="1">
      <c r="A40" s="29" t="s">
        <v>718</v>
      </c>
      <c r="B40" s="29" t="s">
        <v>719</v>
      </c>
      <c r="C40" s="40">
        <v>1.0</v>
      </c>
      <c r="D40" s="41" t="s">
        <v>14</v>
      </c>
      <c r="E40" s="25">
        <v>46044.0</v>
      </c>
      <c r="F40" s="26">
        <v>0.59375</v>
      </c>
      <c r="G40" s="43">
        <f t="shared" si="1"/>
        <v>0.6041666667</v>
      </c>
      <c r="H40" s="13" t="s">
        <v>1281</v>
      </c>
      <c r="I40" s="41" t="s">
        <v>17</v>
      </c>
      <c r="J40" s="29" t="s">
        <v>721</v>
      </c>
      <c r="K40" s="12">
        <f>IFERROR(__xludf.DUMMYFUNCTION("COUNTUNIQUE($A$2:A40)"),39.0)</f>
        <v>39</v>
      </c>
    </row>
    <row r="41">
      <c r="A41" s="29" t="s">
        <v>554</v>
      </c>
      <c r="B41" s="29" t="s">
        <v>555</v>
      </c>
      <c r="C41" s="40">
        <v>1.0</v>
      </c>
      <c r="D41" s="41" t="s">
        <v>14</v>
      </c>
      <c r="E41" s="25">
        <v>46044.0</v>
      </c>
      <c r="F41" s="26">
        <v>0.6041666666666666</v>
      </c>
      <c r="G41" s="43">
        <f t="shared" si="1"/>
        <v>0.6145833333</v>
      </c>
      <c r="H41" s="13" t="s">
        <v>1283</v>
      </c>
      <c r="I41" s="41" t="s">
        <v>17</v>
      </c>
      <c r="J41" s="29" t="s">
        <v>557</v>
      </c>
      <c r="K41" s="12">
        <f>IFERROR(__xludf.DUMMYFUNCTION("COUNTUNIQUE($A$2:A41)"),40.0)</f>
        <v>40</v>
      </c>
    </row>
    <row r="42">
      <c r="A42" s="29" t="s">
        <v>559</v>
      </c>
      <c r="B42" s="29" t="s">
        <v>560</v>
      </c>
      <c r="C42" s="40">
        <v>1.0</v>
      </c>
      <c r="D42" s="41" t="s">
        <v>14</v>
      </c>
      <c r="E42" s="25">
        <v>46044.0</v>
      </c>
      <c r="F42" s="26">
        <v>0.6145833333333334</v>
      </c>
      <c r="G42" s="43">
        <f t="shared" si="1"/>
        <v>0.625</v>
      </c>
      <c r="H42" s="13" t="s">
        <v>561</v>
      </c>
      <c r="I42" s="41" t="s">
        <v>17</v>
      </c>
      <c r="J42" s="29" t="s">
        <v>562</v>
      </c>
      <c r="K42" s="12">
        <f>IFERROR(__xludf.DUMMYFUNCTION("COUNTUNIQUE($A$2:A42)"),41.0)</f>
        <v>41</v>
      </c>
    </row>
    <row r="43">
      <c r="A43" s="29" t="s">
        <v>564</v>
      </c>
      <c r="B43" s="29" t="s">
        <v>1286</v>
      </c>
      <c r="C43" s="40">
        <v>1.0</v>
      </c>
      <c r="D43" s="41" t="s">
        <v>14</v>
      </c>
      <c r="E43" s="25">
        <v>46044.0</v>
      </c>
      <c r="F43" s="26">
        <v>0.625</v>
      </c>
      <c r="G43" s="43">
        <f t="shared" si="1"/>
        <v>0.6354166667</v>
      </c>
      <c r="H43" s="13" t="s">
        <v>173</v>
      </c>
      <c r="I43" s="41" t="s">
        <v>17</v>
      </c>
      <c r="J43" s="29" t="s">
        <v>566</v>
      </c>
      <c r="K43" s="12">
        <f>IFERROR(__xludf.DUMMYFUNCTION("COUNTUNIQUE($A$2:A43)"),42.0)</f>
        <v>42</v>
      </c>
    </row>
    <row r="44">
      <c r="A44" s="29" t="s">
        <v>568</v>
      </c>
      <c r="B44" s="29" t="s">
        <v>569</v>
      </c>
      <c r="C44" s="40">
        <v>1.0</v>
      </c>
      <c r="D44" s="41" t="s">
        <v>14</v>
      </c>
      <c r="E44" s="25">
        <v>46044.0</v>
      </c>
      <c r="F44" s="26">
        <v>0.6354166666666666</v>
      </c>
      <c r="G44" s="43">
        <f t="shared" si="1"/>
        <v>0.6458333333</v>
      </c>
      <c r="H44" s="13" t="s">
        <v>1288</v>
      </c>
      <c r="I44" s="41" t="s">
        <v>17</v>
      </c>
      <c r="J44" s="29" t="s">
        <v>571</v>
      </c>
      <c r="K44" s="12">
        <f>IFERROR(__xludf.DUMMYFUNCTION("COUNTUNIQUE($A$2:A44)"),43.0)</f>
        <v>43</v>
      </c>
    </row>
    <row r="45">
      <c r="A45" s="29" t="s">
        <v>191</v>
      </c>
      <c r="B45" s="29" t="s">
        <v>192</v>
      </c>
      <c r="C45" s="40">
        <v>1.0</v>
      </c>
      <c r="D45" s="41" t="s">
        <v>14</v>
      </c>
      <c r="E45" s="25">
        <v>46044.0</v>
      </c>
      <c r="F45" s="26">
        <v>0.4375</v>
      </c>
      <c r="G45" s="43">
        <f t="shared" si="1"/>
        <v>0.4479166667</v>
      </c>
      <c r="H45" s="13" t="s">
        <v>193</v>
      </c>
      <c r="I45" s="41" t="s">
        <v>17</v>
      </c>
      <c r="J45" s="29" t="s">
        <v>194</v>
      </c>
      <c r="K45" s="12">
        <f>IFERROR(__xludf.DUMMYFUNCTION("COUNTUNIQUE($A$2:A45)"),44.0)</f>
        <v>44</v>
      </c>
    </row>
    <row r="46">
      <c r="A46" s="29" t="s">
        <v>1094</v>
      </c>
      <c r="B46" s="29" t="s">
        <v>197</v>
      </c>
      <c r="C46" s="40">
        <v>1.0</v>
      </c>
      <c r="D46" s="41" t="s">
        <v>14</v>
      </c>
      <c r="E46" s="25">
        <v>46044.0</v>
      </c>
      <c r="F46" s="26">
        <v>0.4479166666666667</v>
      </c>
      <c r="G46" s="43">
        <f t="shared" si="1"/>
        <v>0.4583333333</v>
      </c>
      <c r="H46" s="13" t="s">
        <v>198</v>
      </c>
      <c r="I46" s="41" t="s">
        <v>17</v>
      </c>
      <c r="J46" s="29" t="s">
        <v>199</v>
      </c>
      <c r="K46" s="12">
        <f>IFERROR(__xludf.DUMMYFUNCTION("COUNTUNIQUE($A$2:A46)"),45.0)</f>
        <v>45</v>
      </c>
    </row>
    <row r="47">
      <c r="A47" s="29" t="s">
        <v>201</v>
      </c>
      <c r="B47" s="29" t="s">
        <v>202</v>
      </c>
      <c r="C47" s="40">
        <v>1.0</v>
      </c>
      <c r="D47" s="41" t="s">
        <v>14</v>
      </c>
      <c r="E47" s="25">
        <v>46044.0</v>
      </c>
      <c r="F47" s="26">
        <v>0.4583333333333333</v>
      </c>
      <c r="G47" s="43">
        <f t="shared" si="1"/>
        <v>0.46875</v>
      </c>
      <c r="H47" s="13" t="s">
        <v>110</v>
      </c>
      <c r="I47" s="41" t="s">
        <v>17</v>
      </c>
      <c r="J47" s="29" t="s">
        <v>203</v>
      </c>
      <c r="K47" s="12">
        <f>IFERROR(__xludf.DUMMYFUNCTION("COUNTUNIQUE($A$2:A47)"),46.0)</f>
        <v>46</v>
      </c>
    </row>
    <row r="48">
      <c r="A48" s="29" t="s">
        <v>205</v>
      </c>
      <c r="B48" s="29" t="s">
        <v>206</v>
      </c>
      <c r="C48" s="40">
        <v>1.0</v>
      </c>
      <c r="D48" s="41" t="s">
        <v>14</v>
      </c>
      <c r="E48" s="25">
        <v>46044.0</v>
      </c>
      <c r="F48" s="26">
        <v>0.46875</v>
      </c>
      <c r="G48" s="43">
        <f t="shared" si="1"/>
        <v>0.4791666667</v>
      </c>
      <c r="H48" s="13" t="s">
        <v>207</v>
      </c>
      <c r="I48" s="41" t="s">
        <v>17</v>
      </c>
      <c r="J48" s="29" t="s">
        <v>208</v>
      </c>
      <c r="K48" s="12">
        <f>IFERROR(__xludf.DUMMYFUNCTION("COUNTUNIQUE($A$2:A48)"),47.0)</f>
        <v>47</v>
      </c>
    </row>
    <row r="49">
      <c r="A49" s="29" t="s">
        <v>210</v>
      </c>
      <c r="B49" s="29" t="s">
        <v>211</v>
      </c>
      <c r="C49" s="40">
        <v>1.0</v>
      </c>
      <c r="D49" s="41" t="s">
        <v>14</v>
      </c>
      <c r="E49" s="25">
        <v>46044.0</v>
      </c>
      <c r="F49" s="26">
        <v>0.4791666666666667</v>
      </c>
      <c r="G49" s="43">
        <f t="shared" si="1"/>
        <v>0.4895833333</v>
      </c>
      <c r="H49" s="13" t="s">
        <v>110</v>
      </c>
      <c r="I49" s="41" t="s">
        <v>17</v>
      </c>
      <c r="J49" s="29" t="s">
        <v>212</v>
      </c>
      <c r="K49" s="12">
        <f>IFERROR(__xludf.DUMMYFUNCTION("COUNTUNIQUE($A$2:A49)"),48.0)</f>
        <v>48</v>
      </c>
    </row>
    <row r="50">
      <c r="A50" s="29" t="s">
        <v>214</v>
      </c>
      <c r="B50" s="29" t="s">
        <v>215</v>
      </c>
      <c r="C50" s="40">
        <v>1.0</v>
      </c>
      <c r="D50" s="41" t="s">
        <v>14</v>
      </c>
      <c r="E50" s="25">
        <v>46044.0</v>
      </c>
      <c r="F50" s="26">
        <v>0.4895833333333333</v>
      </c>
      <c r="G50" s="43">
        <f t="shared" si="1"/>
        <v>0.5</v>
      </c>
      <c r="H50" s="13" t="s">
        <v>216</v>
      </c>
      <c r="I50" s="41" t="s">
        <v>17</v>
      </c>
      <c r="J50" s="29" t="s">
        <v>217</v>
      </c>
      <c r="K50" s="12">
        <f>IFERROR(__xludf.DUMMYFUNCTION("COUNTUNIQUE($A$2:A50)"),49.0)</f>
        <v>49</v>
      </c>
    </row>
    <row r="51">
      <c r="A51" s="29" t="s">
        <v>219</v>
      </c>
      <c r="B51" s="29" t="s">
        <v>220</v>
      </c>
      <c r="C51" s="40">
        <v>1.0</v>
      </c>
      <c r="D51" s="41" t="s">
        <v>14</v>
      </c>
      <c r="E51" s="25">
        <v>46044.0</v>
      </c>
      <c r="F51" s="26">
        <v>0.5</v>
      </c>
      <c r="G51" s="43">
        <f t="shared" si="1"/>
        <v>0.5104166667</v>
      </c>
      <c r="H51" s="13" t="s">
        <v>221</v>
      </c>
      <c r="I51" s="41" t="s">
        <v>17</v>
      </c>
      <c r="J51" s="29" t="s">
        <v>222</v>
      </c>
      <c r="K51" s="12">
        <f>IFERROR(__xludf.DUMMYFUNCTION("COUNTUNIQUE($A$2:A51)"),50.0)</f>
        <v>50</v>
      </c>
    </row>
    <row r="52">
      <c r="A52" s="29" t="s">
        <v>224</v>
      </c>
      <c r="B52" s="29" t="s">
        <v>225</v>
      </c>
      <c r="C52" s="40">
        <v>1.0</v>
      </c>
      <c r="D52" s="41" t="s">
        <v>14</v>
      </c>
      <c r="E52" s="25">
        <v>46044.0</v>
      </c>
      <c r="F52" s="26">
        <v>0.5104166666666666</v>
      </c>
      <c r="G52" s="43">
        <f t="shared" si="1"/>
        <v>0.5208333333</v>
      </c>
      <c r="H52" s="13" t="s">
        <v>226</v>
      </c>
      <c r="I52" s="41" t="s">
        <v>17</v>
      </c>
      <c r="J52" s="29" t="s">
        <v>227</v>
      </c>
      <c r="K52" s="12">
        <f>IFERROR(__xludf.DUMMYFUNCTION("COUNTUNIQUE($A$2:A52)"),51.0)</f>
        <v>51</v>
      </c>
    </row>
    <row r="53">
      <c r="A53" s="29" t="s">
        <v>229</v>
      </c>
      <c r="B53" s="29" t="s">
        <v>230</v>
      </c>
      <c r="C53" s="40">
        <v>1.0</v>
      </c>
      <c r="D53" s="41" t="s">
        <v>14</v>
      </c>
      <c r="E53" s="25">
        <v>46044.0</v>
      </c>
      <c r="F53" s="26">
        <v>0.5416666666666666</v>
      </c>
      <c r="G53" s="43">
        <f t="shared" si="1"/>
        <v>0.5520833333</v>
      </c>
      <c r="H53" s="13" t="s">
        <v>231</v>
      </c>
      <c r="I53" s="41" t="s">
        <v>17</v>
      </c>
      <c r="J53" s="29" t="s">
        <v>232</v>
      </c>
      <c r="K53" s="12">
        <f>IFERROR(__xludf.DUMMYFUNCTION("COUNTUNIQUE($A$2:A53)"),52.0)</f>
        <v>52</v>
      </c>
    </row>
    <row r="54">
      <c r="A54" s="29" t="s">
        <v>234</v>
      </c>
      <c r="B54" s="29" t="s">
        <v>235</v>
      </c>
      <c r="C54" s="40">
        <v>1.0</v>
      </c>
      <c r="D54" s="41" t="s">
        <v>14</v>
      </c>
      <c r="E54" s="25">
        <v>46044.0</v>
      </c>
      <c r="F54" s="26">
        <v>0.5520833333333334</v>
      </c>
      <c r="G54" s="43">
        <f t="shared" si="1"/>
        <v>0.5625</v>
      </c>
      <c r="H54" s="13" t="s">
        <v>236</v>
      </c>
      <c r="I54" s="41" t="s">
        <v>17</v>
      </c>
      <c r="J54" s="29" t="s">
        <v>237</v>
      </c>
      <c r="K54" s="12">
        <f>IFERROR(__xludf.DUMMYFUNCTION("COUNTUNIQUE($A$2:A54)"),53.0)</f>
        <v>53</v>
      </c>
    </row>
    <row r="55">
      <c r="A55" s="29" t="s">
        <v>239</v>
      </c>
      <c r="B55" s="29" t="s">
        <v>240</v>
      </c>
      <c r="C55" s="40">
        <v>1.0</v>
      </c>
      <c r="D55" s="41" t="s">
        <v>14</v>
      </c>
      <c r="E55" s="25">
        <v>46044.0</v>
      </c>
      <c r="F55" s="26">
        <v>0.5625</v>
      </c>
      <c r="G55" s="43">
        <f t="shared" si="1"/>
        <v>0.5729166667</v>
      </c>
      <c r="H55" s="13" t="s">
        <v>241</v>
      </c>
      <c r="I55" s="41" t="s">
        <v>17</v>
      </c>
      <c r="J55" s="29" t="s">
        <v>242</v>
      </c>
      <c r="K55" s="12">
        <f>IFERROR(__xludf.DUMMYFUNCTION("COUNTUNIQUE($A$2:A55)"),54.0)</f>
        <v>54</v>
      </c>
    </row>
    <row r="56">
      <c r="A56" s="29" t="s">
        <v>1107</v>
      </c>
      <c r="B56" s="29" t="s">
        <v>245</v>
      </c>
      <c r="C56" s="40">
        <v>1.0</v>
      </c>
      <c r="D56" s="41" t="s">
        <v>14</v>
      </c>
      <c r="E56" s="25">
        <v>46044.0</v>
      </c>
      <c r="F56" s="26">
        <v>0.5729166666666666</v>
      </c>
      <c r="G56" s="43">
        <f t="shared" si="1"/>
        <v>0.5833333333</v>
      </c>
      <c r="H56" s="13" t="s">
        <v>246</v>
      </c>
      <c r="I56" s="41" t="s">
        <v>17</v>
      </c>
      <c r="J56" s="29" t="s">
        <v>247</v>
      </c>
      <c r="K56" s="12">
        <f>IFERROR(__xludf.DUMMYFUNCTION("COUNTUNIQUE($A$2:A56)"),55.0)</f>
        <v>55</v>
      </c>
    </row>
    <row r="57">
      <c r="A57" s="29" t="s">
        <v>249</v>
      </c>
      <c r="B57" s="29" t="s">
        <v>250</v>
      </c>
      <c r="C57" s="40">
        <v>1.0</v>
      </c>
      <c r="D57" s="41" t="s">
        <v>14</v>
      </c>
      <c r="E57" s="25">
        <v>46044.0</v>
      </c>
      <c r="F57" s="26">
        <v>0.5833333333333334</v>
      </c>
      <c r="G57" s="43">
        <f t="shared" si="1"/>
        <v>0.59375</v>
      </c>
      <c r="H57" s="13" t="s">
        <v>251</v>
      </c>
      <c r="I57" s="41" t="s">
        <v>17</v>
      </c>
      <c r="J57" s="29" t="s">
        <v>252</v>
      </c>
      <c r="K57" s="12">
        <f>IFERROR(__xludf.DUMMYFUNCTION("COUNTUNIQUE($A$2:A57)"),56.0)</f>
        <v>56</v>
      </c>
    </row>
    <row r="58">
      <c r="A58" s="29" t="s">
        <v>254</v>
      </c>
      <c r="B58" s="29" t="s">
        <v>255</v>
      </c>
      <c r="C58" s="40">
        <v>1.0</v>
      </c>
      <c r="D58" s="41" t="s">
        <v>14</v>
      </c>
      <c r="E58" s="25">
        <v>46044.0</v>
      </c>
      <c r="F58" s="26">
        <v>0.59375</v>
      </c>
      <c r="G58" s="43">
        <f t="shared" si="1"/>
        <v>0.6041666667</v>
      </c>
      <c r="H58" s="13" t="s">
        <v>256</v>
      </c>
      <c r="I58" s="41" t="s">
        <v>17</v>
      </c>
      <c r="J58" s="29" t="s">
        <v>257</v>
      </c>
      <c r="K58" s="12">
        <f>IFERROR(__xludf.DUMMYFUNCTION("COUNTUNIQUE($A$2:A58)"),57.0)</f>
        <v>57</v>
      </c>
    </row>
    <row r="59">
      <c r="A59" s="29" t="s">
        <v>259</v>
      </c>
      <c r="B59" s="29" t="s">
        <v>260</v>
      </c>
      <c r="C59" s="40">
        <v>1.0</v>
      </c>
      <c r="D59" s="41" t="s">
        <v>14</v>
      </c>
      <c r="E59" s="25">
        <v>46044.0</v>
      </c>
      <c r="F59" s="26">
        <v>0.6041666666666666</v>
      </c>
      <c r="G59" s="43">
        <f t="shared" si="1"/>
        <v>0.6145833333</v>
      </c>
      <c r="H59" s="13" t="s">
        <v>261</v>
      </c>
      <c r="I59" s="41" t="s">
        <v>17</v>
      </c>
      <c r="J59" s="29" t="s">
        <v>184</v>
      </c>
      <c r="K59" s="12">
        <f>IFERROR(__xludf.DUMMYFUNCTION("COUNTUNIQUE($A$2:A59)"),58.0)</f>
        <v>58</v>
      </c>
    </row>
    <row r="60">
      <c r="A60" s="29" t="s">
        <v>263</v>
      </c>
      <c r="B60" s="29" t="s">
        <v>264</v>
      </c>
      <c r="C60" s="40">
        <v>1.0</v>
      </c>
      <c r="D60" s="41" t="s">
        <v>14</v>
      </c>
      <c r="E60" s="25">
        <v>46044.0</v>
      </c>
      <c r="F60" s="26">
        <v>0.6145833333333334</v>
      </c>
      <c r="G60" s="43">
        <f t="shared" si="1"/>
        <v>0.625</v>
      </c>
      <c r="H60" s="13" t="s">
        <v>265</v>
      </c>
      <c r="I60" s="41" t="s">
        <v>17</v>
      </c>
      <c r="J60" s="29" t="s">
        <v>266</v>
      </c>
      <c r="K60" s="12">
        <f>IFERROR(__xludf.DUMMYFUNCTION("COUNTUNIQUE($A$2:A60)"),59.0)</f>
        <v>59</v>
      </c>
    </row>
    <row r="61">
      <c r="A61" s="29" t="s">
        <v>268</v>
      </c>
      <c r="B61" s="29" t="s">
        <v>269</v>
      </c>
      <c r="C61" s="40">
        <v>1.0</v>
      </c>
      <c r="D61" s="41" t="s">
        <v>14</v>
      </c>
      <c r="E61" s="25">
        <v>46044.0</v>
      </c>
      <c r="F61" s="26">
        <v>0.625</v>
      </c>
      <c r="G61" s="43">
        <f t="shared" si="1"/>
        <v>0.6354166667</v>
      </c>
      <c r="H61" s="13" t="s">
        <v>270</v>
      </c>
      <c r="I61" s="41" t="s">
        <v>17</v>
      </c>
      <c r="J61" s="29" t="s">
        <v>271</v>
      </c>
      <c r="K61" s="12">
        <f>IFERROR(__xludf.DUMMYFUNCTION("COUNTUNIQUE($A$2:A61)"),60.0)</f>
        <v>60</v>
      </c>
    </row>
    <row r="62">
      <c r="A62" s="29" t="s">
        <v>273</v>
      </c>
      <c r="B62" s="29" t="s">
        <v>274</v>
      </c>
      <c r="C62" s="40">
        <v>1.0</v>
      </c>
      <c r="D62" s="41" t="s">
        <v>14</v>
      </c>
      <c r="E62" s="25">
        <v>46044.0</v>
      </c>
      <c r="F62" s="26">
        <v>0.6354166666666666</v>
      </c>
      <c r="G62" s="43">
        <f t="shared" si="1"/>
        <v>0.6458333333</v>
      </c>
      <c r="H62" s="13" t="s">
        <v>275</v>
      </c>
      <c r="I62" s="41" t="s">
        <v>17</v>
      </c>
      <c r="J62" s="29" t="s">
        <v>276</v>
      </c>
      <c r="K62" s="12">
        <f>IFERROR(__xludf.DUMMYFUNCTION("COUNTUNIQUE($A$2:A62)"),61.0)</f>
        <v>61</v>
      </c>
    </row>
    <row r="63">
      <c r="A63" s="29" t="s">
        <v>278</v>
      </c>
      <c r="B63" s="29" t="s">
        <v>1308</v>
      </c>
      <c r="C63" s="40">
        <v>1.0</v>
      </c>
      <c r="D63" s="41" t="s">
        <v>14</v>
      </c>
      <c r="E63" s="25">
        <v>46044.0</v>
      </c>
      <c r="F63" s="26">
        <v>0.6458333333333334</v>
      </c>
      <c r="G63" s="43">
        <f t="shared" si="1"/>
        <v>0.65625</v>
      </c>
      <c r="H63" s="13" t="s">
        <v>280</v>
      </c>
      <c r="I63" s="41" t="s">
        <v>17</v>
      </c>
      <c r="J63" s="29" t="s">
        <v>281</v>
      </c>
      <c r="K63" s="12">
        <f>IFERROR(__xludf.DUMMYFUNCTION("COUNTUNIQUE($A$2:A63)"),62.0)</f>
        <v>62</v>
      </c>
    </row>
    <row r="64">
      <c r="A64" s="29" t="s">
        <v>283</v>
      </c>
      <c r="B64" s="29" t="s">
        <v>284</v>
      </c>
      <c r="C64" s="40">
        <v>1.0</v>
      </c>
      <c r="D64" s="41" t="s">
        <v>14</v>
      </c>
      <c r="E64" s="25">
        <v>46044.0</v>
      </c>
      <c r="F64" s="26">
        <v>0.6666666666666666</v>
      </c>
      <c r="G64" s="43">
        <f t="shared" si="1"/>
        <v>0.6770833333</v>
      </c>
      <c r="H64" s="13" t="s">
        <v>285</v>
      </c>
      <c r="I64" s="41" t="s">
        <v>17</v>
      </c>
      <c r="J64" s="29" t="s">
        <v>286</v>
      </c>
      <c r="K64" s="12">
        <f>IFERROR(__xludf.DUMMYFUNCTION("COUNTUNIQUE($A$2:A64)"),63.0)</f>
        <v>63</v>
      </c>
    </row>
    <row r="65">
      <c r="A65" s="29" t="s">
        <v>288</v>
      </c>
      <c r="B65" s="29" t="s">
        <v>289</v>
      </c>
      <c r="C65" s="40">
        <v>1.0</v>
      </c>
      <c r="D65" s="41" t="s">
        <v>14</v>
      </c>
      <c r="E65" s="25">
        <v>46044.0</v>
      </c>
      <c r="F65" s="26">
        <v>0.6770833333333334</v>
      </c>
      <c r="G65" s="43">
        <f t="shared" si="1"/>
        <v>0.6875</v>
      </c>
      <c r="H65" s="13" t="s">
        <v>290</v>
      </c>
      <c r="I65" s="41" t="s">
        <v>17</v>
      </c>
      <c r="J65" s="29" t="s">
        <v>291</v>
      </c>
      <c r="K65" s="12">
        <f>IFERROR(__xludf.DUMMYFUNCTION("COUNTUNIQUE($A$2:A65)"),64.0)</f>
        <v>64</v>
      </c>
    </row>
    <row r="66">
      <c r="A66" s="29" t="s">
        <v>293</v>
      </c>
      <c r="B66" s="29" t="s">
        <v>294</v>
      </c>
      <c r="C66" s="40">
        <v>1.0</v>
      </c>
      <c r="D66" s="41" t="s">
        <v>14</v>
      </c>
      <c r="E66" s="25">
        <v>46044.0</v>
      </c>
      <c r="F66" s="26">
        <v>0.6875</v>
      </c>
      <c r="G66" s="43">
        <f t="shared" si="1"/>
        <v>0.6979166667</v>
      </c>
      <c r="H66" s="13" t="s">
        <v>295</v>
      </c>
      <c r="I66" s="41" t="s">
        <v>17</v>
      </c>
      <c r="J66" s="29" t="s">
        <v>296</v>
      </c>
      <c r="K66" s="12">
        <f>IFERROR(__xludf.DUMMYFUNCTION("COUNTUNIQUE($A$2:A66)"),65.0)</f>
        <v>65</v>
      </c>
    </row>
    <row r="67">
      <c r="A67" s="29" t="s">
        <v>298</v>
      </c>
      <c r="B67" s="29" t="s">
        <v>299</v>
      </c>
      <c r="C67" s="40">
        <v>1.0</v>
      </c>
      <c r="D67" s="41" t="s">
        <v>14</v>
      </c>
      <c r="E67" s="25">
        <v>46044.0</v>
      </c>
      <c r="F67" s="26">
        <v>0.4479166666666667</v>
      </c>
      <c r="G67" s="43">
        <f t="shared" si="1"/>
        <v>0.4583333333</v>
      </c>
      <c r="H67" s="13" t="s">
        <v>300</v>
      </c>
      <c r="I67" s="41" t="s">
        <v>17</v>
      </c>
      <c r="J67" s="29" t="s">
        <v>301</v>
      </c>
      <c r="K67" s="12">
        <f>IFERROR(__xludf.DUMMYFUNCTION("COUNTUNIQUE($A$2:A67)"),66.0)</f>
        <v>66</v>
      </c>
    </row>
    <row r="68">
      <c r="A68" s="29" t="s">
        <v>303</v>
      </c>
      <c r="B68" s="29" t="s">
        <v>304</v>
      </c>
      <c r="C68" s="40">
        <v>1.0</v>
      </c>
      <c r="D68" s="41" t="s">
        <v>14</v>
      </c>
      <c r="E68" s="25">
        <v>46044.0</v>
      </c>
      <c r="F68" s="26">
        <v>0.4583333333333333</v>
      </c>
      <c r="G68" s="43">
        <f t="shared" si="1"/>
        <v>0.46875</v>
      </c>
      <c r="H68" s="13" t="s">
        <v>305</v>
      </c>
      <c r="I68" s="41" t="s">
        <v>17</v>
      </c>
      <c r="J68" s="29" t="s">
        <v>306</v>
      </c>
      <c r="K68" s="12">
        <f>IFERROR(__xludf.DUMMYFUNCTION("COUNTUNIQUE($A$2:A68)"),67.0)</f>
        <v>67</v>
      </c>
    </row>
    <row r="69">
      <c r="A69" s="29" t="s">
        <v>308</v>
      </c>
      <c r="B69" s="29" t="s">
        <v>309</v>
      </c>
      <c r="C69" s="40">
        <v>1.0</v>
      </c>
      <c r="D69" s="41" t="s">
        <v>14</v>
      </c>
      <c r="E69" s="25">
        <v>46044.0</v>
      </c>
      <c r="F69" s="26">
        <v>0.46875</v>
      </c>
      <c r="G69" s="43">
        <f t="shared" si="1"/>
        <v>0.4791666667</v>
      </c>
      <c r="H69" s="13" t="s">
        <v>310</v>
      </c>
      <c r="I69" s="41" t="s">
        <v>17</v>
      </c>
      <c r="J69" s="29" t="s">
        <v>311</v>
      </c>
      <c r="K69" s="12">
        <f>IFERROR(__xludf.DUMMYFUNCTION("COUNTUNIQUE($A$2:A69)"),68.0)</f>
        <v>68</v>
      </c>
    </row>
    <row r="70">
      <c r="A70" s="29" t="s">
        <v>313</v>
      </c>
      <c r="B70" s="29" t="s">
        <v>314</v>
      </c>
      <c r="C70" s="40">
        <v>1.0</v>
      </c>
      <c r="D70" s="41" t="s">
        <v>14</v>
      </c>
      <c r="E70" s="25">
        <v>46044.0</v>
      </c>
      <c r="F70" s="26">
        <v>0.4791666666666667</v>
      </c>
      <c r="G70" s="43">
        <f t="shared" si="1"/>
        <v>0.4895833333</v>
      </c>
      <c r="H70" s="13" t="s">
        <v>315</v>
      </c>
      <c r="I70" s="41" t="s">
        <v>17</v>
      </c>
      <c r="J70" s="29" t="s">
        <v>316</v>
      </c>
      <c r="K70" s="12">
        <f>IFERROR(__xludf.DUMMYFUNCTION("COUNTUNIQUE($A$2:A70)"),69.0)</f>
        <v>69</v>
      </c>
    </row>
    <row r="71">
      <c r="A71" s="29" t="s">
        <v>318</v>
      </c>
      <c r="B71" s="29" t="s">
        <v>319</v>
      </c>
      <c r="C71" s="40">
        <v>1.0</v>
      </c>
      <c r="D71" s="41" t="s">
        <v>14</v>
      </c>
      <c r="E71" s="25">
        <v>46044.0</v>
      </c>
      <c r="F71" s="26">
        <v>0.4895833333333333</v>
      </c>
      <c r="G71" s="43">
        <f t="shared" si="1"/>
        <v>0.5</v>
      </c>
      <c r="H71" s="13" t="s">
        <v>320</v>
      </c>
      <c r="I71" s="41" t="s">
        <v>17</v>
      </c>
      <c r="J71" s="29" t="s">
        <v>321</v>
      </c>
      <c r="K71" s="12">
        <f>IFERROR(__xludf.DUMMYFUNCTION("COUNTUNIQUE($A$2:A71)"),70.0)</f>
        <v>70</v>
      </c>
    </row>
    <row r="72">
      <c r="A72" s="29" t="s">
        <v>323</v>
      </c>
      <c r="B72" s="29" t="s">
        <v>324</v>
      </c>
      <c r="C72" s="40">
        <v>1.0</v>
      </c>
      <c r="D72" s="41" t="s">
        <v>14</v>
      </c>
      <c r="E72" s="25">
        <v>46044.0</v>
      </c>
      <c r="F72" s="26">
        <v>0.5</v>
      </c>
      <c r="G72" s="43">
        <f t="shared" si="1"/>
        <v>0.5104166667</v>
      </c>
      <c r="H72" s="13" t="s">
        <v>325</v>
      </c>
      <c r="I72" s="41" t="s">
        <v>17</v>
      </c>
      <c r="J72" s="29" t="s">
        <v>326</v>
      </c>
      <c r="K72" s="12">
        <f>IFERROR(__xludf.DUMMYFUNCTION("COUNTUNIQUE($A$2:A72)"),71.0)</f>
        <v>71</v>
      </c>
    </row>
    <row r="73">
      <c r="A73" s="29" t="s">
        <v>328</v>
      </c>
      <c r="B73" s="29" t="s">
        <v>329</v>
      </c>
      <c r="C73" s="40">
        <v>1.0</v>
      </c>
      <c r="D73" s="41" t="s">
        <v>14</v>
      </c>
      <c r="E73" s="25">
        <v>46044.0</v>
      </c>
      <c r="F73" s="26">
        <v>0.5104166666666666</v>
      </c>
      <c r="G73" s="43">
        <f t="shared" si="1"/>
        <v>0.5208333333</v>
      </c>
      <c r="H73" s="13" t="s">
        <v>110</v>
      </c>
      <c r="I73" s="41" t="s">
        <v>17</v>
      </c>
      <c r="J73" s="29" t="s">
        <v>330</v>
      </c>
      <c r="K73" s="12">
        <f>IFERROR(__xludf.DUMMYFUNCTION("COUNTUNIQUE($A$2:A73)"),72.0)</f>
        <v>72</v>
      </c>
    </row>
    <row r="74">
      <c r="A74" s="29" t="s">
        <v>332</v>
      </c>
      <c r="B74" s="29" t="s">
        <v>333</v>
      </c>
      <c r="C74" s="40">
        <v>1.0</v>
      </c>
      <c r="D74" s="41" t="s">
        <v>14</v>
      </c>
      <c r="E74" s="25">
        <v>46044.0</v>
      </c>
      <c r="F74" s="26">
        <v>0.5416666666666666</v>
      </c>
      <c r="G74" s="43">
        <f t="shared" si="1"/>
        <v>0.5520833333</v>
      </c>
      <c r="H74" s="13" t="s">
        <v>110</v>
      </c>
      <c r="I74" s="41" t="s">
        <v>17</v>
      </c>
      <c r="J74" s="29" t="s">
        <v>334</v>
      </c>
      <c r="K74" s="12">
        <f>IFERROR(__xludf.DUMMYFUNCTION("COUNTUNIQUE($A$2:A74)"),73.0)</f>
        <v>73</v>
      </c>
    </row>
    <row r="75">
      <c r="A75" s="29" t="s">
        <v>336</v>
      </c>
      <c r="B75" s="29" t="s">
        <v>337</v>
      </c>
      <c r="C75" s="40">
        <v>1.0</v>
      </c>
      <c r="D75" s="41" t="s">
        <v>14</v>
      </c>
      <c r="E75" s="25">
        <v>46044.0</v>
      </c>
      <c r="F75" s="26">
        <v>0.5520833333333334</v>
      </c>
      <c r="G75" s="43">
        <f t="shared" si="1"/>
        <v>0.5625</v>
      </c>
      <c r="H75" s="13" t="s">
        <v>338</v>
      </c>
      <c r="I75" s="41" t="s">
        <v>17</v>
      </c>
      <c r="J75" s="29" t="s">
        <v>339</v>
      </c>
      <c r="K75" s="12">
        <f>IFERROR(__xludf.DUMMYFUNCTION("COUNTUNIQUE($A$2:A75)"),74.0)</f>
        <v>74</v>
      </c>
    </row>
    <row r="76">
      <c r="A76" s="29" t="s">
        <v>341</v>
      </c>
      <c r="B76" s="29" t="s">
        <v>342</v>
      </c>
      <c r="C76" s="40">
        <v>1.0</v>
      </c>
      <c r="D76" s="41" t="s">
        <v>14</v>
      </c>
      <c r="E76" s="25">
        <v>46044.0</v>
      </c>
      <c r="F76" s="26">
        <v>0.5625</v>
      </c>
      <c r="G76" s="43">
        <f t="shared" si="1"/>
        <v>0.5729166667</v>
      </c>
      <c r="H76" s="13" t="s">
        <v>343</v>
      </c>
      <c r="I76" s="41" t="s">
        <v>17</v>
      </c>
      <c r="J76" s="29" t="s">
        <v>344</v>
      </c>
      <c r="K76" s="12">
        <f>IFERROR(__xludf.DUMMYFUNCTION("COUNTUNIQUE($A$2:A76)"),75.0)</f>
        <v>75</v>
      </c>
    </row>
    <row r="77">
      <c r="A77" s="29" t="s">
        <v>346</v>
      </c>
      <c r="B77" s="29" t="s">
        <v>347</v>
      </c>
      <c r="C77" s="40">
        <v>1.0</v>
      </c>
      <c r="D77" s="41" t="s">
        <v>14</v>
      </c>
      <c r="E77" s="25">
        <v>46044.0</v>
      </c>
      <c r="F77" s="26">
        <v>0.5729166666666666</v>
      </c>
      <c r="G77" s="43">
        <f t="shared" si="1"/>
        <v>0.5833333333</v>
      </c>
      <c r="H77" s="13" t="s">
        <v>348</v>
      </c>
      <c r="I77" s="41" t="s">
        <v>17</v>
      </c>
      <c r="J77" s="29" t="s">
        <v>349</v>
      </c>
      <c r="K77" s="12">
        <f>IFERROR(__xludf.DUMMYFUNCTION("COUNTUNIQUE($A$2:A77)"),76.0)</f>
        <v>76</v>
      </c>
    </row>
    <row r="78">
      <c r="A78" s="29" t="s">
        <v>351</v>
      </c>
      <c r="B78" s="29" t="s">
        <v>352</v>
      </c>
      <c r="C78" s="40">
        <v>1.0</v>
      </c>
      <c r="D78" s="41" t="s">
        <v>14</v>
      </c>
      <c r="E78" s="25">
        <v>46044.0</v>
      </c>
      <c r="F78" s="26">
        <v>0.5833333333333334</v>
      </c>
      <c r="G78" s="43">
        <f t="shared" si="1"/>
        <v>0.59375</v>
      </c>
      <c r="H78" s="13" t="s">
        <v>353</v>
      </c>
      <c r="I78" s="41" t="s">
        <v>17</v>
      </c>
      <c r="J78" s="29" t="s">
        <v>354</v>
      </c>
      <c r="K78" s="12">
        <f>IFERROR(__xludf.DUMMYFUNCTION("COUNTUNIQUE($A$2:A78)"),77.0)</f>
        <v>77</v>
      </c>
    </row>
    <row r="79">
      <c r="A79" s="29" t="s">
        <v>356</v>
      </c>
      <c r="B79" s="29" t="s">
        <v>357</v>
      </c>
      <c r="C79" s="40">
        <v>1.0</v>
      </c>
      <c r="D79" s="41" t="s">
        <v>14</v>
      </c>
      <c r="E79" s="25">
        <v>46044.0</v>
      </c>
      <c r="F79" s="26">
        <v>0.59375</v>
      </c>
      <c r="G79" s="43">
        <f t="shared" si="1"/>
        <v>0.6041666667</v>
      </c>
      <c r="H79" s="13" t="s">
        <v>358</v>
      </c>
      <c r="I79" s="41" t="s">
        <v>17</v>
      </c>
      <c r="J79" s="29" t="s">
        <v>359</v>
      </c>
      <c r="K79" s="12">
        <f>IFERROR(__xludf.DUMMYFUNCTION("COUNTUNIQUE($A$2:A79)"),78.0)</f>
        <v>78</v>
      </c>
    </row>
    <row r="80">
      <c r="A80" s="29" t="s">
        <v>361</v>
      </c>
      <c r="B80" s="29" t="s">
        <v>362</v>
      </c>
      <c r="C80" s="40">
        <v>1.0</v>
      </c>
      <c r="D80" s="41" t="s">
        <v>14</v>
      </c>
      <c r="E80" s="25">
        <v>46044.0</v>
      </c>
      <c r="F80" s="26">
        <v>0.6041666666666666</v>
      </c>
      <c r="G80" s="43">
        <f t="shared" si="1"/>
        <v>0.6145833333</v>
      </c>
      <c r="H80" s="13" t="s">
        <v>363</v>
      </c>
      <c r="I80" s="41" t="s">
        <v>17</v>
      </c>
      <c r="J80" s="29" t="s">
        <v>364</v>
      </c>
      <c r="K80" s="12">
        <f>IFERROR(__xludf.DUMMYFUNCTION("COUNTUNIQUE($A$2:A80)"),79.0)</f>
        <v>79</v>
      </c>
    </row>
    <row r="81">
      <c r="A81" s="29" t="s">
        <v>366</v>
      </c>
      <c r="B81" s="29" t="s">
        <v>367</v>
      </c>
      <c r="C81" s="40">
        <v>1.0</v>
      </c>
      <c r="D81" s="41" t="s">
        <v>14</v>
      </c>
      <c r="E81" s="25">
        <v>46044.0</v>
      </c>
      <c r="F81" s="26">
        <v>0.6145833333333334</v>
      </c>
      <c r="G81" s="43">
        <f t="shared" si="1"/>
        <v>0.625</v>
      </c>
      <c r="H81" s="13" t="s">
        <v>368</v>
      </c>
      <c r="I81" s="41" t="s">
        <v>17</v>
      </c>
      <c r="J81" s="29" t="s">
        <v>369</v>
      </c>
      <c r="K81" s="12">
        <f>IFERROR(__xludf.DUMMYFUNCTION("COUNTUNIQUE($A$2:A81)"),80.0)</f>
        <v>80</v>
      </c>
    </row>
    <row r="82">
      <c r="A82" s="29" t="s">
        <v>371</v>
      </c>
      <c r="B82" s="29" t="s">
        <v>372</v>
      </c>
      <c r="C82" s="40">
        <v>1.0</v>
      </c>
      <c r="D82" s="41" t="s">
        <v>14</v>
      </c>
      <c r="E82" s="25">
        <v>46044.0</v>
      </c>
      <c r="F82" s="26">
        <v>0.625</v>
      </c>
      <c r="G82" s="43">
        <f t="shared" si="1"/>
        <v>0.6354166667</v>
      </c>
      <c r="H82" s="13" t="s">
        <v>373</v>
      </c>
      <c r="I82" s="41" t="s">
        <v>17</v>
      </c>
      <c r="J82" s="29" t="s">
        <v>374</v>
      </c>
      <c r="K82" s="12">
        <f>IFERROR(__xludf.DUMMYFUNCTION("COUNTUNIQUE($A$2:A82)"),81.0)</f>
        <v>81</v>
      </c>
    </row>
    <row r="83">
      <c r="A83" s="29" t="s">
        <v>376</v>
      </c>
      <c r="B83" s="29" t="s">
        <v>377</v>
      </c>
      <c r="C83" s="40">
        <v>1.0</v>
      </c>
      <c r="D83" s="41" t="s">
        <v>14</v>
      </c>
      <c r="E83" s="25">
        <v>46044.0</v>
      </c>
      <c r="F83" s="26">
        <v>0.6354166666666666</v>
      </c>
      <c r="G83" s="43">
        <f t="shared" si="1"/>
        <v>0.6458333333</v>
      </c>
      <c r="H83" s="13" t="s">
        <v>378</v>
      </c>
      <c r="I83" s="41" t="s">
        <v>17</v>
      </c>
      <c r="J83" s="29" t="s">
        <v>379</v>
      </c>
      <c r="K83" s="12">
        <f>IFERROR(__xludf.DUMMYFUNCTION("COUNTUNIQUE($A$2:A83)"),82.0)</f>
        <v>82</v>
      </c>
    </row>
    <row r="84">
      <c r="A84" s="29" t="s">
        <v>381</v>
      </c>
      <c r="B84" s="29" t="s">
        <v>382</v>
      </c>
      <c r="C84" s="40">
        <v>1.0</v>
      </c>
      <c r="D84" s="41" t="s">
        <v>14</v>
      </c>
      <c r="E84" s="25">
        <v>46044.0</v>
      </c>
      <c r="F84" s="26">
        <v>0.6458333333333334</v>
      </c>
      <c r="G84" s="43">
        <f t="shared" si="1"/>
        <v>0.65625</v>
      </c>
      <c r="H84" s="13" t="s">
        <v>383</v>
      </c>
      <c r="I84" s="41" t="s">
        <v>17</v>
      </c>
      <c r="J84" s="29" t="s">
        <v>384</v>
      </c>
      <c r="K84" s="12">
        <f>IFERROR(__xludf.DUMMYFUNCTION("COUNTUNIQUE($A$2:A84)"),83.0)</f>
        <v>83</v>
      </c>
    </row>
    <row r="85">
      <c r="A85" s="29" t="s">
        <v>386</v>
      </c>
      <c r="B85" s="29" t="s">
        <v>387</v>
      </c>
      <c r="C85" s="40">
        <v>1.0</v>
      </c>
      <c r="D85" s="41" t="s">
        <v>14</v>
      </c>
      <c r="E85" s="25">
        <v>46044.0</v>
      </c>
      <c r="F85" s="26">
        <v>0.4375</v>
      </c>
      <c r="G85" s="43">
        <f t="shared" si="1"/>
        <v>0.4479166667</v>
      </c>
      <c r="H85" s="13" t="s">
        <v>388</v>
      </c>
      <c r="I85" s="41" t="s">
        <v>17</v>
      </c>
      <c r="J85" s="29" t="s">
        <v>389</v>
      </c>
      <c r="K85" s="12">
        <f>IFERROR(__xludf.DUMMYFUNCTION("COUNTUNIQUE($A$2:A85)"),84.0)</f>
        <v>84</v>
      </c>
    </row>
    <row r="86">
      <c r="A86" s="29" t="s">
        <v>391</v>
      </c>
      <c r="B86" s="29" t="s">
        <v>392</v>
      </c>
      <c r="C86" s="40">
        <v>1.0</v>
      </c>
      <c r="D86" s="41" t="s">
        <v>14</v>
      </c>
      <c r="E86" s="25">
        <v>46044.0</v>
      </c>
      <c r="F86" s="26">
        <v>0.4479166666666667</v>
      </c>
      <c r="G86" s="43">
        <f t="shared" si="1"/>
        <v>0.4583333333</v>
      </c>
      <c r="H86" s="13" t="s">
        <v>393</v>
      </c>
      <c r="I86" s="41" t="s">
        <v>17</v>
      </c>
      <c r="J86" s="29" t="s">
        <v>394</v>
      </c>
      <c r="K86" s="12">
        <f>IFERROR(__xludf.DUMMYFUNCTION("COUNTUNIQUE($A$2:A86)"),85.0)</f>
        <v>85</v>
      </c>
    </row>
    <row r="87">
      <c r="A87" s="29" t="s">
        <v>396</v>
      </c>
      <c r="B87" s="29" t="s">
        <v>397</v>
      </c>
      <c r="C87" s="40">
        <v>1.0</v>
      </c>
      <c r="D87" s="41" t="s">
        <v>14</v>
      </c>
      <c r="E87" s="25">
        <v>46044.0</v>
      </c>
      <c r="F87" s="26">
        <v>0.4583333333333333</v>
      </c>
      <c r="G87" s="43">
        <f t="shared" si="1"/>
        <v>0.46875</v>
      </c>
      <c r="H87" s="13" t="s">
        <v>398</v>
      </c>
      <c r="I87" s="41" t="s">
        <v>17</v>
      </c>
      <c r="J87" s="29" t="s">
        <v>399</v>
      </c>
      <c r="K87" s="12">
        <f>IFERROR(__xludf.DUMMYFUNCTION("COUNTUNIQUE($A$2:A87)"),86.0)</f>
        <v>86</v>
      </c>
    </row>
    <row r="88">
      <c r="A88" s="29" t="s">
        <v>401</v>
      </c>
      <c r="B88" s="29" t="s">
        <v>402</v>
      </c>
      <c r="C88" s="40">
        <v>1.0</v>
      </c>
      <c r="D88" s="41" t="s">
        <v>14</v>
      </c>
      <c r="E88" s="25">
        <v>46044.0</v>
      </c>
      <c r="F88" s="26">
        <v>0.46875</v>
      </c>
      <c r="G88" s="43">
        <f t="shared" si="1"/>
        <v>0.4791666667</v>
      </c>
      <c r="H88" s="13" t="s">
        <v>120</v>
      </c>
      <c r="I88" s="41" t="s">
        <v>17</v>
      </c>
      <c r="J88" s="29" t="s">
        <v>403</v>
      </c>
      <c r="K88" s="12">
        <f>IFERROR(__xludf.DUMMYFUNCTION("COUNTUNIQUE($A$2:A88)"),87.0)</f>
        <v>87</v>
      </c>
    </row>
    <row r="89">
      <c r="A89" s="29" t="s">
        <v>405</v>
      </c>
      <c r="B89" s="29" t="s">
        <v>406</v>
      </c>
      <c r="C89" s="40">
        <v>1.0</v>
      </c>
      <c r="D89" s="41" t="s">
        <v>14</v>
      </c>
      <c r="E89" s="25">
        <v>46044.0</v>
      </c>
      <c r="F89" s="26">
        <v>0.4791666666666667</v>
      </c>
      <c r="G89" s="43">
        <f t="shared" si="1"/>
        <v>0.4895833333</v>
      </c>
      <c r="H89" s="13" t="s">
        <v>407</v>
      </c>
      <c r="I89" s="41" t="s">
        <v>17</v>
      </c>
      <c r="J89" s="29" t="s">
        <v>408</v>
      </c>
      <c r="K89" s="12">
        <f>IFERROR(__xludf.DUMMYFUNCTION("COUNTUNIQUE($A$2:A89)"),88.0)</f>
        <v>88</v>
      </c>
    </row>
    <row r="90">
      <c r="A90" s="29" t="s">
        <v>410</v>
      </c>
      <c r="B90" s="29" t="s">
        <v>411</v>
      </c>
      <c r="C90" s="40">
        <v>1.0</v>
      </c>
      <c r="D90" s="41" t="s">
        <v>14</v>
      </c>
      <c r="E90" s="25">
        <v>46044.0</v>
      </c>
      <c r="F90" s="26">
        <v>0.4895833333333333</v>
      </c>
      <c r="G90" s="43">
        <f t="shared" si="1"/>
        <v>0.5</v>
      </c>
      <c r="H90" s="13" t="s">
        <v>412</v>
      </c>
      <c r="I90" s="41" t="s">
        <v>17</v>
      </c>
      <c r="J90" s="29" t="s">
        <v>413</v>
      </c>
      <c r="K90" s="12">
        <f>IFERROR(__xludf.DUMMYFUNCTION("COUNTUNIQUE($A$2:A90)"),89.0)</f>
        <v>89</v>
      </c>
    </row>
    <row r="91">
      <c r="A91" s="29" t="s">
        <v>415</v>
      </c>
      <c r="B91" s="29" t="s">
        <v>416</v>
      </c>
      <c r="C91" s="40">
        <v>1.0</v>
      </c>
      <c r="D91" s="41" t="s">
        <v>14</v>
      </c>
      <c r="E91" s="25">
        <v>46044.0</v>
      </c>
      <c r="F91" s="26">
        <v>0.5</v>
      </c>
      <c r="G91" s="43">
        <f t="shared" si="1"/>
        <v>0.5104166667</v>
      </c>
      <c r="H91" s="13" t="s">
        <v>417</v>
      </c>
      <c r="I91" s="41" t="s">
        <v>17</v>
      </c>
      <c r="J91" s="29" t="s">
        <v>418</v>
      </c>
      <c r="K91" s="12">
        <f>IFERROR(__xludf.DUMMYFUNCTION("COUNTUNIQUE($A$2:A91)"),90.0)</f>
        <v>90</v>
      </c>
    </row>
    <row r="92">
      <c r="A92" s="29" t="s">
        <v>420</v>
      </c>
      <c r="B92" s="29" t="s">
        <v>421</v>
      </c>
      <c r="C92" s="40">
        <v>1.0</v>
      </c>
      <c r="D92" s="41" t="s">
        <v>14</v>
      </c>
      <c r="E92" s="25">
        <v>46044.0</v>
      </c>
      <c r="F92" s="26">
        <v>0.5104166666666666</v>
      </c>
      <c r="G92" s="43">
        <f t="shared" si="1"/>
        <v>0.5208333333</v>
      </c>
      <c r="H92" s="13" t="s">
        <v>422</v>
      </c>
      <c r="I92" s="41" t="s">
        <v>17</v>
      </c>
      <c r="J92" s="29" t="s">
        <v>423</v>
      </c>
      <c r="K92" s="12">
        <f>IFERROR(__xludf.DUMMYFUNCTION("COUNTUNIQUE($A$2:A92)"),91.0)</f>
        <v>91</v>
      </c>
    </row>
    <row r="93">
      <c r="A93" s="29" t="s">
        <v>425</v>
      </c>
      <c r="B93" s="29" t="s">
        <v>426</v>
      </c>
      <c r="C93" s="40">
        <v>1.0</v>
      </c>
      <c r="D93" s="41" t="s">
        <v>14</v>
      </c>
      <c r="E93" s="25">
        <v>46044.0</v>
      </c>
      <c r="F93" s="26">
        <v>0.5416666666666666</v>
      </c>
      <c r="G93" s="43">
        <f t="shared" si="1"/>
        <v>0.5520833333</v>
      </c>
      <c r="H93" s="13" t="s">
        <v>427</v>
      </c>
      <c r="I93" s="41" t="s">
        <v>17</v>
      </c>
      <c r="J93" s="29" t="s">
        <v>428</v>
      </c>
      <c r="K93" s="12">
        <f>IFERROR(__xludf.DUMMYFUNCTION("COUNTUNIQUE($A$2:A93)"),92.0)</f>
        <v>92</v>
      </c>
    </row>
    <row r="94">
      <c r="A94" s="29" t="s">
        <v>1159</v>
      </c>
      <c r="B94" s="29" t="s">
        <v>431</v>
      </c>
      <c r="C94" s="40">
        <v>1.0</v>
      </c>
      <c r="D94" s="41" t="s">
        <v>14</v>
      </c>
      <c r="E94" s="25">
        <v>46044.0</v>
      </c>
      <c r="F94" s="26">
        <v>0.5520833333333334</v>
      </c>
      <c r="G94" s="43">
        <f t="shared" si="1"/>
        <v>0.5625</v>
      </c>
      <c r="H94" s="13" t="s">
        <v>432</v>
      </c>
      <c r="I94" s="41" t="s">
        <v>17</v>
      </c>
      <c r="J94" s="29" t="s">
        <v>433</v>
      </c>
      <c r="K94" s="12">
        <f>IFERROR(__xludf.DUMMYFUNCTION("COUNTUNIQUE($A$2:A94)"),93.0)</f>
        <v>93</v>
      </c>
    </row>
    <row r="95">
      <c r="A95" s="29" t="s">
        <v>435</v>
      </c>
      <c r="B95" s="29" t="s">
        <v>436</v>
      </c>
      <c r="C95" s="40">
        <v>1.0</v>
      </c>
      <c r="D95" s="41" t="s">
        <v>14</v>
      </c>
      <c r="E95" s="25">
        <v>46044.0</v>
      </c>
      <c r="F95" s="26">
        <v>0.5625</v>
      </c>
      <c r="G95" s="43">
        <f t="shared" si="1"/>
        <v>0.5729166667</v>
      </c>
      <c r="H95" s="13" t="s">
        <v>437</v>
      </c>
      <c r="I95" s="41" t="s">
        <v>17</v>
      </c>
      <c r="J95" s="29" t="s">
        <v>438</v>
      </c>
      <c r="K95" s="12">
        <f>IFERROR(__xludf.DUMMYFUNCTION("COUNTUNIQUE($A$2:A95)"),94.0)</f>
        <v>94</v>
      </c>
    </row>
    <row r="96">
      <c r="A96" s="29" t="s">
        <v>1164</v>
      </c>
      <c r="B96" s="29" t="s">
        <v>441</v>
      </c>
      <c r="C96" s="40">
        <v>1.0</v>
      </c>
      <c r="D96" s="41" t="s">
        <v>14</v>
      </c>
      <c r="E96" s="25">
        <v>46044.0</v>
      </c>
      <c r="F96" s="26">
        <v>0.5729166666666666</v>
      </c>
      <c r="G96" s="43">
        <f t="shared" si="1"/>
        <v>0.5833333333</v>
      </c>
      <c r="H96" s="13" t="s">
        <v>442</v>
      </c>
      <c r="I96" s="41" t="s">
        <v>17</v>
      </c>
      <c r="J96" s="29" t="s">
        <v>438</v>
      </c>
      <c r="K96" s="12">
        <f>IFERROR(__xludf.DUMMYFUNCTION("COUNTUNIQUE($A$2:A96)"),95.0)</f>
        <v>95</v>
      </c>
    </row>
    <row r="97">
      <c r="A97" s="29" t="s">
        <v>444</v>
      </c>
      <c r="B97" s="29" t="s">
        <v>445</v>
      </c>
      <c r="C97" s="40">
        <v>1.0</v>
      </c>
      <c r="D97" s="41" t="s">
        <v>14</v>
      </c>
      <c r="E97" s="25">
        <v>46044.0</v>
      </c>
      <c r="F97" s="26">
        <v>0.5833333333333334</v>
      </c>
      <c r="G97" s="43">
        <f t="shared" si="1"/>
        <v>0.59375</v>
      </c>
      <c r="H97" s="13" t="s">
        <v>446</v>
      </c>
      <c r="I97" s="41" t="s">
        <v>17</v>
      </c>
      <c r="J97" s="29" t="s">
        <v>447</v>
      </c>
      <c r="K97" s="12">
        <f>IFERROR(__xludf.DUMMYFUNCTION("COUNTUNIQUE($A$2:A97)"),96.0)</f>
        <v>96</v>
      </c>
    </row>
    <row r="98">
      <c r="A98" s="29" t="s">
        <v>449</v>
      </c>
      <c r="B98" s="29" t="s">
        <v>450</v>
      </c>
      <c r="C98" s="40">
        <v>1.0</v>
      </c>
      <c r="D98" s="41" t="s">
        <v>14</v>
      </c>
      <c r="E98" s="25">
        <v>46044.0</v>
      </c>
      <c r="F98" s="26">
        <v>0.59375</v>
      </c>
      <c r="G98" s="43">
        <f t="shared" si="1"/>
        <v>0.6041666667</v>
      </c>
      <c r="H98" s="13" t="s">
        <v>451</v>
      </c>
      <c r="I98" s="41" t="s">
        <v>17</v>
      </c>
      <c r="J98" s="29" t="s">
        <v>452</v>
      </c>
      <c r="K98" s="12">
        <f>IFERROR(__xludf.DUMMYFUNCTION("COUNTUNIQUE($A$2:A98)"),97.0)</f>
        <v>97</v>
      </c>
    </row>
    <row r="99">
      <c r="A99" s="29" t="s">
        <v>1168</v>
      </c>
      <c r="B99" s="29" t="s">
        <v>1345</v>
      </c>
      <c r="C99" s="40">
        <v>1.0</v>
      </c>
      <c r="D99" s="41" t="s">
        <v>14</v>
      </c>
      <c r="E99" s="25">
        <v>46044.0</v>
      </c>
      <c r="F99" s="26">
        <v>0.6041666666666666</v>
      </c>
      <c r="G99" s="43">
        <f t="shared" si="1"/>
        <v>0.6145833333</v>
      </c>
      <c r="H99" s="13" t="s">
        <v>1346</v>
      </c>
      <c r="I99" s="41" t="s">
        <v>17</v>
      </c>
      <c r="J99" s="29" t="s">
        <v>1414</v>
      </c>
      <c r="K99" s="12">
        <f>IFERROR(__xludf.DUMMYFUNCTION("COUNTUNIQUE($A$2:A99)"),98.0)</f>
        <v>98</v>
      </c>
    </row>
    <row r="100">
      <c r="A100" s="29" t="s">
        <v>454</v>
      </c>
      <c r="B100" s="29" t="s">
        <v>455</v>
      </c>
      <c r="C100" s="40">
        <v>1.0</v>
      </c>
      <c r="D100" s="41" t="s">
        <v>14</v>
      </c>
      <c r="E100" s="25">
        <v>46044.0</v>
      </c>
      <c r="F100" s="26">
        <v>0.6145833333333334</v>
      </c>
      <c r="G100" s="43">
        <f t="shared" si="1"/>
        <v>0.625</v>
      </c>
      <c r="H100" s="13" t="s">
        <v>456</v>
      </c>
      <c r="I100" s="41" t="s">
        <v>17</v>
      </c>
      <c r="J100" s="29" t="s">
        <v>457</v>
      </c>
      <c r="K100" s="12">
        <f>IFERROR(__xludf.DUMMYFUNCTION("COUNTUNIQUE($A$2:A100)"),99.0)</f>
        <v>99</v>
      </c>
    </row>
    <row r="101">
      <c r="A101" s="29" t="s">
        <v>459</v>
      </c>
      <c r="B101" s="29" t="s">
        <v>460</v>
      </c>
      <c r="C101" s="40">
        <v>1.0</v>
      </c>
      <c r="D101" s="41" t="s">
        <v>14</v>
      </c>
      <c r="E101" s="25">
        <v>46044.0</v>
      </c>
      <c r="F101" s="26">
        <v>0.625</v>
      </c>
      <c r="G101" s="43">
        <f t="shared" si="1"/>
        <v>0.6354166667</v>
      </c>
      <c r="H101" s="13" t="s">
        <v>461</v>
      </c>
      <c r="I101" s="41" t="s">
        <v>17</v>
      </c>
      <c r="J101" s="29" t="s">
        <v>462</v>
      </c>
      <c r="K101" s="12">
        <f>IFERROR(__xludf.DUMMYFUNCTION("COUNTUNIQUE($A$2:A101)"),100.0)</f>
        <v>100</v>
      </c>
    </row>
    <row r="102">
      <c r="A102" s="29" t="s">
        <v>464</v>
      </c>
      <c r="B102" s="29" t="s">
        <v>465</v>
      </c>
      <c r="C102" s="40">
        <v>1.0</v>
      </c>
      <c r="D102" s="41" t="s">
        <v>14</v>
      </c>
      <c r="E102" s="25">
        <v>46044.0</v>
      </c>
      <c r="F102" s="26">
        <v>0.6354166666666666</v>
      </c>
      <c r="G102" s="43">
        <f t="shared" si="1"/>
        <v>0.6458333333</v>
      </c>
      <c r="H102" s="13" t="s">
        <v>466</v>
      </c>
      <c r="I102" s="41" t="s">
        <v>17</v>
      </c>
      <c r="J102" s="29" t="s">
        <v>467</v>
      </c>
      <c r="K102" s="12">
        <f>IFERROR(__xludf.DUMMYFUNCTION("COUNTUNIQUE($A$2:A102)"),101.0)</f>
        <v>101</v>
      </c>
    </row>
    <row r="103">
      <c r="A103" s="29" t="s">
        <v>469</v>
      </c>
      <c r="B103" s="29" t="s">
        <v>470</v>
      </c>
      <c r="C103" s="40">
        <v>1.0</v>
      </c>
      <c r="D103" s="41" t="s">
        <v>14</v>
      </c>
      <c r="E103" s="25">
        <v>46044.0</v>
      </c>
      <c r="F103" s="26">
        <v>0.6458333333333334</v>
      </c>
      <c r="G103" s="43">
        <f t="shared" si="1"/>
        <v>0.65625</v>
      </c>
      <c r="H103" s="13" t="s">
        <v>471</v>
      </c>
      <c r="I103" s="41" t="s">
        <v>17</v>
      </c>
      <c r="J103" s="29" t="s">
        <v>472</v>
      </c>
      <c r="K103" s="12">
        <f>IFERROR(__xludf.DUMMYFUNCTION("COUNTUNIQUE($A$2:A103)"),102.0)</f>
        <v>102</v>
      </c>
    </row>
    <row r="104">
      <c r="A104" s="29" t="s">
        <v>474</v>
      </c>
      <c r="B104" s="29" t="s">
        <v>475</v>
      </c>
      <c r="C104" s="40">
        <v>1.0</v>
      </c>
      <c r="D104" s="41" t="s">
        <v>14</v>
      </c>
      <c r="E104" s="25">
        <v>46044.0</v>
      </c>
      <c r="F104" s="26">
        <v>0.6666666666666666</v>
      </c>
      <c r="G104" s="43">
        <f t="shared" si="1"/>
        <v>0.6770833333</v>
      </c>
      <c r="H104" s="13" t="s">
        <v>476</v>
      </c>
      <c r="I104" s="41" t="s">
        <v>17</v>
      </c>
      <c r="J104" s="29" t="s">
        <v>477</v>
      </c>
      <c r="K104" s="12">
        <f>IFERROR(__xludf.DUMMYFUNCTION("COUNTUNIQUE($A$2:A104)"),103.0)</f>
        <v>103</v>
      </c>
    </row>
    <row r="105">
      <c r="A105" s="29" t="s">
        <v>1180</v>
      </c>
      <c r="B105" s="29" t="s">
        <v>480</v>
      </c>
      <c r="C105" s="40">
        <v>1.0</v>
      </c>
      <c r="D105" s="41" t="s">
        <v>14</v>
      </c>
      <c r="E105" s="25">
        <v>46044.0</v>
      </c>
      <c r="F105" s="26">
        <v>0.6770833333333334</v>
      </c>
      <c r="G105" s="43">
        <f t="shared" si="1"/>
        <v>0.6875</v>
      </c>
      <c r="H105" s="13" t="s">
        <v>481</v>
      </c>
      <c r="I105" s="41" t="s">
        <v>17</v>
      </c>
      <c r="J105" s="29" t="s">
        <v>482</v>
      </c>
      <c r="K105" s="12">
        <f>IFERROR(__xludf.DUMMYFUNCTION("COUNTUNIQUE($A$2:A105)"),104.0)</f>
        <v>104</v>
      </c>
    </row>
    <row r="106">
      <c r="A106" s="29" t="s">
        <v>484</v>
      </c>
      <c r="B106" s="29" t="s">
        <v>485</v>
      </c>
      <c r="C106" s="40">
        <v>1.0</v>
      </c>
      <c r="D106" s="41" t="s">
        <v>14</v>
      </c>
      <c r="E106" s="25">
        <v>46044.0</v>
      </c>
      <c r="F106" s="26">
        <v>0.6875</v>
      </c>
      <c r="G106" s="43">
        <f t="shared" si="1"/>
        <v>0.6979166667</v>
      </c>
      <c r="H106" s="13" t="s">
        <v>486</v>
      </c>
      <c r="I106" s="41" t="s">
        <v>17</v>
      </c>
      <c r="J106" s="29" t="s">
        <v>487</v>
      </c>
      <c r="K106" s="12">
        <f>IFERROR(__xludf.DUMMYFUNCTION("COUNTUNIQUE($A$2:A106)"),105.0)</f>
        <v>105</v>
      </c>
    </row>
    <row r="107">
      <c r="A107" s="29" t="s">
        <v>489</v>
      </c>
      <c r="B107" s="29" t="s">
        <v>490</v>
      </c>
      <c r="C107" s="40">
        <v>1.0</v>
      </c>
      <c r="D107" s="41" t="s">
        <v>14</v>
      </c>
      <c r="E107" s="25">
        <v>46044.0</v>
      </c>
      <c r="F107" s="26">
        <v>0.6979166666666666</v>
      </c>
      <c r="G107" s="43">
        <f t="shared" si="1"/>
        <v>0.7083333333</v>
      </c>
      <c r="H107" s="13" t="s">
        <v>110</v>
      </c>
      <c r="I107" s="41" t="s">
        <v>17</v>
      </c>
      <c r="J107" s="29" t="s">
        <v>491</v>
      </c>
      <c r="K107" s="12">
        <f>IFERROR(__xludf.DUMMYFUNCTION("COUNTUNIQUE($A$2:A107)"),106.0)</f>
        <v>106</v>
      </c>
    </row>
    <row r="108">
      <c r="A108" s="29" t="s">
        <v>493</v>
      </c>
      <c r="B108" s="29" t="s">
        <v>494</v>
      </c>
      <c r="C108" s="40">
        <v>1.0</v>
      </c>
      <c r="D108" s="41" t="s">
        <v>14</v>
      </c>
      <c r="E108" s="25">
        <v>46044.0</v>
      </c>
      <c r="F108" s="26">
        <v>0.7083333333333334</v>
      </c>
      <c r="G108" s="43">
        <f t="shared" si="1"/>
        <v>0.71875</v>
      </c>
      <c r="H108" s="13" t="s">
        <v>495</v>
      </c>
      <c r="I108" s="41" t="s">
        <v>17</v>
      </c>
      <c r="J108" s="29" t="s">
        <v>496</v>
      </c>
      <c r="K108" s="12">
        <f>IFERROR(__xludf.DUMMYFUNCTION("COUNTUNIQUE($A$2:A108)"),107.0)</f>
        <v>107</v>
      </c>
    </row>
    <row r="109">
      <c r="A109" s="29" t="s">
        <v>498</v>
      </c>
      <c r="B109" s="29" t="s">
        <v>499</v>
      </c>
      <c r="C109" s="40">
        <v>1.0</v>
      </c>
      <c r="D109" s="41" t="s">
        <v>14</v>
      </c>
      <c r="E109" s="25">
        <v>46044.0</v>
      </c>
      <c r="F109" s="26">
        <v>0.71875</v>
      </c>
      <c r="G109" s="43">
        <f t="shared" si="1"/>
        <v>0.7291666667</v>
      </c>
      <c r="H109" s="13" t="s">
        <v>500</v>
      </c>
      <c r="I109" s="41" t="s">
        <v>17</v>
      </c>
      <c r="J109" s="29" t="s">
        <v>501</v>
      </c>
      <c r="K109" s="12">
        <f>IFERROR(__xludf.DUMMYFUNCTION("COUNTUNIQUE($A$2:A109)"),108.0)</f>
        <v>108</v>
      </c>
    </row>
    <row r="110">
      <c r="A110" s="29" t="s">
        <v>503</v>
      </c>
      <c r="B110" s="29" t="s">
        <v>1357</v>
      </c>
      <c r="C110" s="40">
        <v>1.0</v>
      </c>
      <c r="D110" s="41" t="s">
        <v>14</v>
      </c>
      <c r="E110" s="25">
        <v>46045.0</v>
      </c>
      <c r="F110" s="26">
        <v>0.5833333333333334</v>
      </c>
      <c r="G110" s="43">
        <f t="shared" si="1"/>
        <v>0.59375</v>
      </c>
      <c r="H110" s="13" t="s">
        <v>505</v>
      </c>
      <c r="I110" s="41" t="s">
        <v>17</v>
      </c>
      <c r="J110" s="29" t="s">
        <v>506</v>
      </c>
      <c r="K110" s="12">
        <f>IFERROR(__xludf.DUMMYFUNCTION("COUNTUNIQUE($A$2:A110)"),109.0)</f>
        <v>109</v>
      </c>
    </row>
    <row r="111">
      <c r="A111" s="29" t="s">
        <v>508</v>
      </c>
      <c r="B111" s="29" t="s">
        <v>509</v>
      </c>
      <c r="C111" s="40">
        <v>1.0</v>
      </c>
      <c r="D111" s="41" t="s">
        <v>14</v>
      </c>
      <c r="E111" s="25">
        <v>46045.0</v>
      </c>
      <c r="F111" s="26">
        <v>0.59375</v>
      </c>
      <c r="G111" s="43">
        <f t="shared" si="1"/>
        <v>0.6041666667</v>
      </c>
      <c r="H111" s="13" t="s">
        <v>510</v>
      </c>
      <c r="I111" s="41" t="s">
        <v>17</v>
      </c>
      <c r="J111" s="29" t="s">
        <v>511</v>
      </c>
      <c r="K111" s="12">
        <f>IFERROR(__xludf.DUMMYFUNCTION("COUNTUNIQUE($A$2:A111)"),110.0)</f>
        <v>110</v>
      </c>
    </row>
    <row r="112">
      <c r="A112" s="29" t="s">
        <v>513</v>
      </c>
      <c r="B112" s="29" t="s">
        <v>514</v>
      </c>
      <c r="C112" s="40">
        <v>1.0</v>
      </c>
      <c r="D112" s="41" t="s">
        <v>14</v>
      </c>
      <c r="E112" s="25">
        <v>46045.0</v>
      </c>
      <c r="F112" s="26">
        <v>0.6041666666666666</v>
      </c>
      <c r="G112" s="43">
        <f t="shared" si="1"/>
        <v>0.6145833333</v>
      </c>
      <c r="H112" s="13" t="s">
        <v>515</v>
      </c>
      <c r="I112" s="41" t="s">
        <v>17</v>
      </c>
      <c r="J112" s="29" t="s">
        <v>516</v>
      </c>
      <c r="K112" s="12">
        <f>IFERROR(__xludf.DUMMYFUNCTION("COUNTUNIQUE($A$2:A112)"),111.0)</f>
        <v>111</v>
      </c>
    </row>
    <row r="113">
      <c r="A113" s="29" t="s">
        <v>518</v>
      </c>
      <c r="B113" s="29" t="s">
        <v>519</v>
      </c>
      <c r="C113" s="40">
        <v>1.0</v>
      </c>
      <c r="D113" s="41" t="s">
        <v>14</v>
      </c>
      <c r="E113" s="25">
        <v>46045.0</v>
      </c>
      <c r="F113" s="26">
        <v>0.6145833333333334</v>
      </c>
      <c r="G113" s="43">
        <f t="shared" si="1"/>
        <v>0.625</v>
      </c>
      <c r="H113" s="13" t="s">
        <v>510</v>
      </c>
      <c r="I113" s="41" t="s">
        <v>17</v>
      </c>
      <c r="J113" s="29" t="s">
        <v>520</v>
      </c>
      <c r="K113" s="12">
        <f>IFERROR(__xludf.DUMMYFUNCTION("COUNTUNIQUE($A$2:A113)"),112.0)</f>
        <v>112</v>
      </c>
    </row>
    <row r="114">
      <c r="A114" s="29" t="s">
        <v>522</v>
      </c>
      <c r="B114" s="29" t="s">
        <v>523</v>
      </c>
      <c r="C114" s="40">
        <v>1.0</v>
      </c>
      <c r="D114" s="41" t="s">
        <v>14</v>
      </c>
      <c r="E114" s="25">
        <v>46045.0</v>
      </c>
      <c r="F114" s="26">
        <v>0.625</v>
      </c>
      <c r="G114" s="43">
        <f t="shared" si="1"/>
        <v>0.6354166667</v>
      </c>
      <c r="H114" s="13" t="s">
        <v>173</v>
      </c>
      <c r="I114" s="41" t="s">
        <v>17</v>
      </c>
      <c r="J114" s="29" t="s">
        <v>524</v>
      </c>
      <c r="K114" s="12">
        <f>IFERROR(__xludf.DUMMYFUNCTION("COUNTUNIQUE($A$2:A114)"),113.0)</f>
        <v>113</v>
      </c>
    </row>
    <row r="115">
      <c r="A115" s="29" t="s">
        <v>526</v>
      </c>
      <c r="B115" s="29" t="s">
        <v>527</v>
      </c>
      <c r="C115" s="40">
        <v>1.0</v>
      </c>
      <c r="D115" s="41" t="s">
        <v>14</v>
      </c>
      <c r="E115" s="25">
        <v>46045.0</v>
      </c>
      <c r="F115" s="26">
        <v>0.6354166666666666</v>
      </c>
      <c r="G115" s="43">
        <f t="shared" si="1"/>
        <v>0.6458333333</v>
      </c>
      <c r="H115" s="13" t="s">
        <v>528</v>
      </c>
      <c r="I115" s="41" t="s">
        <v>17</v>
      </c>
      <c r="J115" s="29" t="s">
        <v>529</v>
      </c>
      <c r="K115" s="12">
        <f>IFERROR(__xludf.DUMMYFUNCTION("COUNTUNIQUE($A$2:A115)"),114.0)</f>
        <v>114</v>
      </c>
    </row>
    <row r="116">
      <c r="A116" s="29" t="s">
        <v>531</v>
      </c>
      <c r="B116" s="29" t="s">
        <v>532</v>
      </c>
      <c r="C116" s="40">
        <v>1.0</v>
      </c>
      <c r="D116" s="41" t="s">
        <v>14</v>
      </c>
      <c r="E116" s="25">
        <v>46045.0</v>
      </c>
      <c r="F116" s="26">
        <v>0.6458333333333334</v>
      </c>
      <c r="G116" s="43">
        <f t="shared" si="1"/>
        <v>0.65625</v>
      </c>
      <c r="H116" s="13" t="s">
        <v>120</v>
      </c>
      <c r="I116" s="41" t="s">
        <v>17</v>
      </c>
      <c r="J116" s="29" t="s">
        <v>533</v>
      </c>
      <c r="K116" s="12">
        <f>IFERROR(__xludf.DUMMYFUNCTION("COUNTUNIQUE($A$2:A116)"),115.0)</f>
        <v>115</v>
      </c>
    </row>
    <row r="117">
      <c r="A117" s="29" t="s">
        <v>535</v>
      </c>
      <c r="B117" s="29" t="s">
        <v>536</v>
      </c>
      <c r="C117" s="40">
        <v>1.0</v>
      </c>
      <c r="D117" s="41" t="s">
        <v>14</v>
      </c>
      <c r="E117" s="25">
        <v>46045.0</v>
      </c>
      <c r="F117" s="26">
        <v>0.65625</v>
      </c>
      <c r="G117" s="43">
        <f t="shared" si="1"/>
        <v>0.6666666667</v>
      </c>
      <c r="H117" s="13" t="s">
        <v>528</v>
      </c>
      <c r="I117" s="41" t="s">
        <v>17</v>
      </c>
      <c r="J117" s="29" t="s">
        <v>537</v>
      </c>
      <c r="K117" s="12">
        <f>IFERROR(__xludf.DUMMYFUNCTION("COUNTUNIQUE($A$2:A117)"),116.0)</f>
        <v>116</v>
      </c>
    </row>
    <row r="118">
      <c r="A118" s="29" t="s">
        <v>539</v>
      </c>
      <c r="B118" s="29" t="s">
        <v>540</v>
      </c>
      <c r="C118" s="40">
        <v>1.0</v>
      </c>
      <c r="D118" s="41" t="s">
        <v>14</v>
      </c>
      <c r="E118" s="25">
        <v>46045.0</v>
      </c>
      <c r="F118" s="26">
        <v>0.6666666666666666</v>
      </c>
      <c r="G118" s="43">
        <f t="shared" si="1"/>
        <v>0.6770833333</v>
      </c>
      <c r="H118" s="13" t="s">
        <v>541</v>
      </c>
      <c r="I118" s="41" t="s">
        <v>17</v>
      </c>
      <c r="J118" s="29" t="s">
        <v>542</v>
      </c>
      <c r="K118" s="12">
        <f>IFERROR(__xludf.DUMMYFUNCTION("COUNTUNIQUE($A$2:A118)"),117.0)</f>
        <v>117</v>
      </c>
    </row>
    <row r="119">
      <c r="A119" s="29" t="s">
        <v>544</v>
      </c>
      <c r="B119" s="29" t="s">
        <v>545</v>
      </c>
      <c r="C119" s="40">
        <v>1.0</v>
      </c>
      <c r="D119" s="41" t="s">
        <v>14</v>
      </c>
      <c r="E119" s="25">
        <v>46045.0</v>
      </c>
      <c r="F119" s="26">
        <v>0.6875</v>
      </c>
      <c r="G119" s="43">
        <f t="shared" si="1"/>
        <v>0.6979166667</v>
      </c>
      <c r="H119" s="13" t="s">
        <v>546</v>
      </c>
      <c r="I119" s="41" t="s">
        <v>17</v>
      </c>
      <c r="J119" s="29" t="s">
        <v>547</v>
      </c>
      <c r="K119" s="12">
        <f>IFERROR(__xludf.DUMMYFUNCTION("COUNTUNIQUE($A$2:A119)"),118.0)</f>
        <v>118</v>
      </c>
    </row>
    <row r="120">
      <c r="A120" s="29" t="s">
        <v>549</v>
      </c>
      <c r="B120" s="29" t="s">
        <v>550</v>
      </c>
      <c r="C120" s="40">
        <v>1.0</v>
      </c>
      <c r="D120" s="41" t="s">
        <v>14</v>
      </c>
      <c r="E120" s="25">
        <v>46045.0</v>
      </c>
      <c r="F120" s="26">
        <v>0.6979166666666666</v>
      </c>
      <c r="G120" s="43">
        <f t="shared" si="1"/>
        <v>0.7083333333</v>
      </c>
      <c r="H120" s="13" t="s">
        <v>551</v>
      </c>
      <c r="I120" s="41" t="s">
        <v>17</v>
      </c>
      <c r="J120" s="29" t="s">
        <v>552</v>
      </c>
      <c r="K120" s="12">
        <f>IFERROR(__xludf.DUMMYFUNCTION("COUNTUNIQUE($A$2:A120)"),119.0)</f>
        <v>119</v>
      </c>
    </row>
    <row r="121">
      <c r="A121" s="29" t="s">
        <v>688</v>
      </c>
      <c r="B121" s="29" t="s">
        <v>689</v>
      </c>
      <c r="C121" s="40">
        <v>1.0</v>
      </c>
      <c r="D121" s="41" t="s">
        <v>14</v>
      </c>
      <c r="E121" s="25">
        <v>46045.0</v>
      </c>
      <c r="F121" s="26">
        <v>0.5833333333333334</v>
      </c>
      <c r="G121" s="43">
        <f t="shared" si="1"/>
        <v>0.59375</v>
      </c>
      <c r="H121" s="13" t="s">
        <v>198</v>
      </c>
      <c r="I121" s="41" t="s">
        <v>17</v>
      </c>
      <c r="J121" s="29" t="s">
        <v>691</v>
      </c>
      <c r="K121" s="12">
        <f>IFERROR(__xludf.DUMMYFUNCTION("COUNTUNIQUE($A$2:A121)"),119.0)</f>
        <v>119</v>
      </c>
    </row>
    <row r="122">
      <c r="A122" s="29" t="s">
        <v>718</v>
      </c>
      <c r="B122" s="29" t="s">
        <v>719</v>
      </c>
      <c r="C122" s="40">
        <v>1.0</v>
      </c>
      <c r="D122" s="41" t="s">
        <v>14</v>
      </c>
      <c r="E122" s="25">
        <v>46045.0</v>
      </c>
      <c r="F122" s="26">
        <v>0.59375</v>
      </c>
      <c r="G122" s="43">
        <f t="shared" si="1"/>
        <v>0.6041666667</v>
      </c>
      <c r="H122" s="13" t="s">
        <v>1281</v>
      </c>
      <c r="I122" s="41" t="s">
        <v>17</v>
      </c>
      <c r="J122" s="29" t="s">
        <v>721</v>
      </c>
      <c r="K122" s="12">
        <f>IFERROR(__xludf.DUMMYFUNCTION("COUNTUNIQUE($A$2:A122)"),119.0)</f>
        <v>119</v>
      </c>
    </row>
    <row r="123">
      <c r="A123" s="29" t="s">
        <v>554</v>
      </c>
      <c r="B123" s="29" t="s">
        <v>555</v>
      </c>
      <c r="C123" s="40">
        <v>1.0</v>
      </c>
      <c r="D123" s="41" t="s">
        <v>14</v>
      </c>
      <c r="E123" s="25">
        <v>46045.0</v>
      </c>
      <c r="F123" s="26">
        <v>0.6041666666666666</v>
      </c>
      <c r="G123" s="43">
        <f t="shared" si="1"/>
        <v>0.6145833333</v>
      </c>
      <c r="H123" s="13" t="s">
        <v>556</v>
      </c>
      <c r="I123" s="41" t="s">
        <v>17</v>
      </c>
      <c r="J123" s="29" t="s">
        <v>557</v>
      </c>
      <c r="K123" s="12">
        <f>IFERROR(__xludf.DUMMYFUNCTION("COUNTUNIQUE($A$2:A123)"),119.0)</f>
        <v>119</v>
      </c>
    </row>
    <row r="124">
      <c r="A124" s="29" t="s">
        <v>559</v>
      </c>
      <c r="B124" s="29" t="s">
        <v>560</v>
      </c>
      <c r="C124" s="40">
        <v>1.0</v>
      </c>
      <c r="D124" s="41" t="s">
        <v>14</v>
      </c>
      <c r="E124" s="25">
        <v>46045.0</v>
      </c>
      <c r="F124" s="26">
        <v>0.6145833333333334</v>
      </c>
      <c r="G124" s="43">
        <f t="shared" si="1"/>
        <v>0.625</v>
      </c>
      <c r="H124" s="13" t="s">
        <v>561</v>
      </c>
      <c r="I124" s="41" t="s">
        <v>17</v>
      </c>
      <c r="J124" s="29" t="s">
        <v>562</v>
      </c>
      <c r="K124" s="12">
        <f>IFERROR(__xludf.DUMMYFUNCTION("COUNTUNIQUE($A$2:A124)"),119.0)</f>
        <v>119</v>
      </c>
    </row>
    <row r="125">
      <c r="A125" s="29" t="s">
        <v>564</v>
      </c>
      <c r="B125" s="29" t="s">
        <v>565</v>
      </c>
      <c r="C125" s="40">
        <v>1.0</v>
      </c>
      <c r="D125" s="41" t="s">
        <v>14</v>
      </c>
      <c r="E125" s="25">
        <v>46045.0</v>
      </c>
      <c r="F125" s="26">
        <v>0.625</v>
      </c>
      <c r="G125" s="43">
        <f t="shared" si="1"/>
        <v>0.6354166667</v>
      </c>
      <c r="H125" s="13" t="s">
        <v>173</v>
      </c>
      <c r="I125" s="41" t="s">
        <v>17</v>
      </c>
      <c r="J125" s="29" t="s">
        <v>566</v>
      </c>
      <c r="K125" s="12">
        <f>IFERROR(__xludf.DUMMYFUNCTION("COUNTUNIQUE($A$2:A125)"),119.0)</f>
        <v>119</v>
      </c>
    </row>
    <row r="126">
      <c r="A126" s="29" t="s">
        <v>568</v>
      </c>
      <c r="B126" s="29" t="s">
        <v>569</v>
      </c>
      <c r="C126" s="40">
        <v>1.0</v>
      </c>
      <c r="D126" s="41" t="s">
        <v>14</v>
      </c>
      <c r="E126" s="25">
        <v>46045.0</v>
      </c>
      <c r="F126" s="26">
        <v>0.6354166666666666</v>
      </c>
      <c r="G126" s="43">
        <f t="shared" si="1"/>
        <v>0.6458333333</v>
      </c>
      <c r="H126" s="13" t="s">
        <v>570</v>
      </c>
      <c r="I126" s="41" t="s">
        <v>17</v>
      </c>
      <c r="J126" s="29" t="s">
        <v>571</v>
      </c>
      <c r="K126" s="12">
        <f>IFERROR(__xludf.DUMMYFUNCTION("COUNTUNIQUE($A$2:A126)"),119.0)</f>
        <v>119</v>
      </c>
    </row>
    <row r="127">
      <c r="A127" s="29" t="s">
        <v>573</v>
      </c>
      <c r="B127" s="29" t="s">
        <v>574</v>
      </c>
      <c r="C127" s="40">
        <v>1.0</v>
      </c>
      <c r="D127" s="41" t="s">
        <v>14</v>
      </c>
      <c r="E127" s="25">
        <v>46045.0</v>
      </c>
      <c r="F127" s="26">
        <v>0.6666666666666666</v>
      </c>
      <c r="G127" s="43">
        <f t="shared" si="1"/>
        <v>0.6770833333</v>
      </c>
      <c r="H127" s="13" t="s">
        <v>575</v>
      </c>
      <c r="I127" s="41" t="s">
        <v>17</v>
      </c>
      <c r="J127" s="29" t="s">
        <v>199</v>
      </c>
      <c r="K127" s="12">
        <f>IFERROR(__xludf.DUMMYFUNCTION("COUNTUNIQUE($A$2:A127)"),120.0)</f>
        <v>120</v>
      </c>
    </row>
    <row r="128">
      <c r="A128" s="29" t="s">
        <v>697</v>
      </c>
      <c r="B128" s="29" t="s">
        <v>698</v>
      </c>
      <c r="C128" s="40">
        <v>1.0</v>
      </c>
      <c r="D128" s="41" t="s">
        <v>14</v>
      </c>
      <c r="E128" s="25">
        <v>46045.0</v>
      </c>
      <c r="F128" s="26">
        <v>0.6770833333333334</v>
      </c>
      <c r="G128" s="43">
        <f t="shared" si="1"/>
        <v>0.6875</v>
      </c>
      <c r="H128" s="13" t="s">
        <v>1376</v>
      </c>
      <c r="I128" s="41" t="s">
        <v>17</v>
      </c>
      <c r="J128" s="29" t="s">
        <v>699</v>
      </c>
      <c r="K128" s="12">
        <f>IFERROR(__xludf.DUMMYFUNCTION("COUNTUNIQUE($A$2:A128)"),121.0)</f>
        <v>121</v>
      </c>
    </row>
    <row r="129">
      <c r="A129" s="29" t="s">
        <v>577</v>
      </c>
      <c r="B129" s="29" t="s">
        <v>578</v>
      </c>
      <c r="C129" s="40">
        <v>1.0</v>
      </c>
      <c r="D129" s="41" t="s">
        <v>14</v>
      </c>
      <c r="E129" s="25">
        <v>46045.0</v>
      </c>
      <c r="F129" s="26">
        <v>0.6875</v>
      </c>
      <c r="G129" s="43">
        <f t="shared" si="1"/>
        <v>0.6979166667</v>
      </c>
      <c r="H129" s="13" t="s">
        <v>510</v>
      </c>
      <c r="I129" s="41" t="s">
        <v>17</v>
      </c>
      <c r="J129" s="29" t="s">
        <v>199</v>
      </c>
      <c r="K129" s="12">
        <f>IFERROR(__xludf.DUMMYFUNCTION("COUNTUNIQUE($A$2:A129)"),122.0)</f>
        <v>122</v>
      </c>
    </row>
    <row r="130">
      <c r="A130" s="29" t="s">
        <v>580</v>
      </c>
      <c r="B130" s="29" t="s">
        <v>581</v>
      </c>
      <c r="C130" s="40">
        <v>1.0</v>
      </c>
      <c r="D130" s="41" t="s">
        <v>14</v>
      </c>
      <c r="E130" s="25">
        <v>46045.0</v>
      </c>
      <c r="F130" s="26">
        <v>0.6979166666666666</v>
      </c>
      <c r="G130" s="43">
        <f t="shared" si="1"/>
        <v>0.7083333333</v>
      </c>
      <c r="H130" s="13" t="s">
        <v>582</v>
      </c>
      <c r="I130" s="41" t="s">
        <v>17</v>
      </c>
      <c r="J130" s="29" t="s">
        <v>583</v>
      </c>
      <c r="K130" s="12">
        <f>IFERROR(__xludf.DUMMYFUNCTION("COUNTUNIQUE($A$2:A130)"),123.0)</f>
        <v>123</v>
      </c>
    </row>
    <row r="131">
      <c r="A131" s="29" t="s">
        <v>585</v>
      </c>
      <c r="B131" s="29" t="s">
        <v>586</v>
      </c>
      <c r="C131" s="40">
        <v>1.0</v>
      </c>
      <c r="D131" s="41" t="s">
        <v>14</v>
      </c>
      <c r="E131" s="25">
        <v>46045.0</v>
      </c>
      <c r="F131" s="26">
        <v>0.7083333333333334</v>
      </c>
      <c r="G131" s="43">
        <f t="shared" si="1"/>
        <v>0.71875</v>
      </c>
      <c r="H131" s="13" t="s">
        <v>587</v>
      </c>
      <c r="I131" s="41" t="s">
        <v>17</v>
      </c>
      <c r="J131" s="29" t="s">
        <v>588</v>
      </c>
      <c r="K131" s="12">
        <f>IFERROR(__xludf.DUMMYFUNCTION("COUNTUNIQUE($A$2:A131)"),124.0)</f>
        <v>124</v>
      </c>
    </row>
    <row r="132">
      <c r="A132" s="29" t="s">
        <v>590</v>
      </c>
      <c r="B132" s="29" t="s">
        <v>591</v>
      </c>
      <c r="C132" s="40">
        <v>1.0</v>
      </c>
      <c r="D132" s="41" t="s">
        <v>14</v>
      </c>
      <c r="E132" s="25">
        <v>46045.0</v>
      </c>
      <c r="F132" s="26">
        <v>0.71875</v>
      </c>
      <c r="G132" s="43">
        <f t="shared" si="1"/>
        <v>0.7291666667</v>
      </c>
      <c r="H132" s="13" t="s">
        <v>592</v>
      </c>
      <c r="I132" s="41" t="s">
        <v>17</v>
      </c>
      <c r="J132" s="29" t="s">
        <v>593</v>
      </c>
      <c r="K132" s="12">
        <f>IFERROR(__xludf.DUMMYFUNCTION("COUNTUNIQUE($A$2:A132)"),125.0)</f>
        <v>125</v>
      </c>
    </row>
    <row r="133">
      <c r="A133" s="29" t="s">
        <v>595</v>
      </c>
      <c r="B133" s="29" t="s">
        <v>596</v>
      </c>
      <c r="C133" s="40">
        <v>1.0</v>
      </c>
      <c r="D133" s="41" t="s">
        <v>14</v>
      </c>
      <c r="E133" s="25">
        <v>46045.0</v>
      </c>
      <c r="F133" s="26">
        <v>0.7291666666666666</v>
      </c>
      <c r="G133" s="43">
        <f t="shared" si="1"/>
        <v>0.7395833333</v>
      </c>
      <c r="H133" s="13" t="s">
        <v>597</v>
      </c>
      <c r="I133" s="41" t="s">
        <v>17</v>
      </c>
      <c r="J133" s="29" t="s">
        <v>598</v>
      </c>
      <c r="K133" s="12">
        <f>IFERROR(__xludf.DUMMYFUNCTION("COUNTUNIQUE($A$2:A133)"),126.0)</f>
        <v>126</v>
      </c>
    </row>
    <row r="134">
      <c r="A134" s="29" t="s">
        <v>1210</v>
      </c>
      <c r="B134" s="29" t="s">
        <v>601</v>
      </c>
      <c r="C134" s="40">
        <v>1.0</v>
      </c>
      <c r="D134" s="41" t="s">
        <v>14</v>
      </c>
      <c r="E134" s="25">
        <v>46045.0</v>
      </c>
      <c r="F134" s="26">
        <v>0.7604166666666666</v>
      </c>
      <c r="G134" s="43">
        <f t="shared" si="1"/>
        <v>0.7708333333</v>
      </c>
      <c r="H134" s="13" t="s">
        <v>602</v>
      </c>
      <c r="I134" s="41" t="s">
        <v>17</v>
      </c>
      <c r="J134" s="29" t="s">
        <v>603</v>
      </c>
      <c r="K134" s="12">
        <f>IFERROR(__xludf.DUMMYFUNCTION("COUNTUNIQUE($A$2:A134)"),127.0)</f>
        <v>127</v>
      </c>
    </row>
    <row r="135">
      <c r="A135" s="29" t="s">
        <v>605</v>
      </c>
      <c r="B135" s="29" t="s">
        <v>606</v>
      </c>
      <c r="C135" s="40">
        <v>1.0</v>
      </c>
      <c r="D135" s="41" t="s">
        <v>14</v>
      </c>
      <c r="E135" s="25">
        <v>46045.0</v>
      </c>
      <c r="F135" s="26">
        <v>0.7708333333333334</v>
      </c>
      <c r="G135" s="43">
        <f t="shared" si="1"/>
        <v>0.78125</v>
      </c>
      <c r="H135" s="13" t="s">
        <v>607</v>
      </c>
      <c r="I135" s="41" t="s">
        <v>17</v>
      </c>
      <c r="J135" s="29" t="s">
        <v>608</v>
      </c>
      <c r="K135" s="12">
        <f>IFERROR(__xludf.DUMMYFUNCTION("COUNTUNIQUE($A$2:A135)"),128.0)</f>
        <v>128</v>
      </c>
    </row>
    <row r="136">
      <c r="A136" s="29" t="s">
        <v>610</v>
      </c>
      <c r="B136" s="29" t="s">
        <v>611</v>
      </c>
      <c r="C136" s="40">
        <v>1.0</v>
      </c>
      <c r="D136" s="41" t="s">
        <v>14</v>
      </c>
      <c r="E136" s="25">
        <v>46045.0</v>
      </c>
      <c r="F136" s="26">
        <v>0.78125</v>
      </c>
      <c r="G136" s="43">
        <f t="shared" si="1"/>
        <v>0.7916666667</v>
      </c>
      <c r="H136" s="13" t="s">
        <v>612</v>
      </c>
      <c r="I136" s="41" t="s">
        <v>17</v>
      </c>
      <c r="J136" s="29" t="s">
        <v>613</v>
      </c>
      <c r="K136" s="12">
        <f>IFERROR(__xludf.DUMMYFUNCTION("COUNTUNIQUE($A$2:A136)"),129.0)</f>
        <v>129</v>
      </c>
    </row>
    <row r="137">
      <c r="A137" s="29" t="s">
        <v>615</v>
      </c>
      <c r="B137" s="29" t="s">
        <v>616</v>
      </c>
      <c r="C137" s="40">
        <v>1.0</v>
      </c>
      <c r="D137" s="41" t="s">
        <v>14</v>
      </c>
      <c r="E137" s="25">
        <v>46045.0</v>
      </c>
      <c r="F137" s="26">
        <v>0.7916666666666666</v>
      </c>
      <c r="G137" s="43">
        <f t="shared" si="1"/>
        <v>0.8020833333</v>
      </c>
      <c r="H137" s="13" t="s">
        <v>617</v>
      </c>
      <c r="I137" s="41" t="s">
        <v>17</v>
      </c>
      <c r="J137" s="29" t="s">
        <v>618</v>
      </c>
      <c r="K137" s="12">
        <f>IFERROR(__xludf.DUMMYFUNCTION("COUNTUNIQUE($A$2:A137)"),130.0)</f>
        <v>130</v>
      </c>
    </row>
    <row r="138">
      <c r="A138" s="29" t="s">
        <v>620</v>
      </c>
      <c r="B138" s="29" t="s">
        <v>621</v>
      </c>
      <c r="C138" s="40">
        <v>1.0</v>
      </c>
      <c r="D138" s="41" t="s">
        <v>14</v>
      </c>
      <c r="E138" s="25">
        <v>46045.0</v>
      </c>
      <c r="F138" s="26">
        <v>0.8020833333333334</v>
      </c>
      <c r="G138" s="43">
        <f t="shared" si="1"/>
        <v>0.8125</v>
      </c>
      <c r="H138" s="13" t="s">
        <v>622</v>
      </c>
      <c r="I138" s="41" t="s">
        <v>17</v>
      </c>
      <c r="J138" s="29" t="s">
        <v>623</v>
      </c>
      <c r="K138" s="12">
        <f>IFERROR(__xludf.DUMMYFUNCTION("COUNTUNIQUE($A$2:A138)"),131.0)</f>
        <v>131</v>
      </c>
    </row>
    <row r="139">
      <c r="A139" s="29" t="s">
        <v>625</v>
      </c>
      <c r="B139" s="29" t="s">
        <v>626</v>
      </c>
      <c r="C139" s="40">
        <v>1.0</v>
      </c>
      <c r="D139" s="41" t="s">
        <v>14</v>
      </c>
      <c r="E139" s="25">
        <v>46045.0</v>
      </c>
      <c r="F139" s="26">
        <v>0.8125</v>
      </c>
      <c r="G139" s="43">
        <f t="shared" si="1"/>
        <v>0.8229166667</v>
      </c>
      <c r="H139" s="13" t="s">
        <v>627</v>
      </c>
      <c r="I139" s="41" t="s">
        <v>17</v>
      </c>
      <c r="J139" s="29" t="s">
        <v>628</v>
      </c>
      <c r="K139" s="12">
        <f>IFERROR(__xludf.DUMMYFUNCTION("COUNTUNIQUE($A$2:A139)"),132.0)</f>
        <v>132</v>
      </c>
    </row>
    <row r="140">
      <c r="A140" s="29" t="s">
        <v>1217</v>
      </c>
      <c r="B140" s="29" t="s">
        <v>631</v>
      </c>
      <c r="C140" s="40">
        <v>1.0</v>
      </c>
      <c r="D140" s="41" t="s">
        <v>14</v>
      </c>
      <c r="E140" s="25">
        <v>46045.0</v>
      </c>
      <c r="F140" s="26">
        <v>0.8229166666666666</v>
      </c>
      <c r="G140" s="43">
        <f t="shared" si="1"/>
        <v>0.8333333333</v>
      </c>
      <c r="H140" s="13" t="s">
        <v>632</v>
      </c>
      <c r="I140" s="41" t="s">
        <v>17</v>
      </c>
      <c r="J140" s="29" t="s">
        <v>633</v>
      </c>
      <c r="K140" s="12">
        <f>IFERROR(__xludf.DUMMYFUNCTION("COUNTUNIQUE($A$2:A140)"),133.0)</f>
        <v>133</v>
      </c>
    </row>
    <row r="141">
      <c r="A141" s="29" t="s">
        <v>635</v>
      </c>
      <c r="B141" s="29" t="s">
        <v>636</v>
      </c>
      <c r="C141" s="40">
        <v>1.0</v>
      </c>
      <c r="D141" s="41" t="s">
        <v>14</v>
      </c>
      <c r="E141" s="25">
        <v>46045.0</v>
      </c>
      <c r="F141" s="26">
        <v>0.5833333333333334</v>
      </c>
      <c r="G141" s="43">
        <f t="shared" si="1"/>
        <v>0.59375</v>
      </c>
      <c r="H141" s="13" t="s">
        <v>637</v>
      </c>
      <c r="I141" s="41" t="s">
        <v>17</v>
      </c>
      <c r="J141" s="29" t="s">
        <v>638</v>
      </c>
      <c r="K141" s="12">
        <f>IFERROR(__xludf.DUMMYFUNCTION("COUNTUNIQUE($A$2:A141)"),134.0)</f>
        <v>134</v>
      </c>
    </row>
    <row r="142">
      <c r="A142" s="29" t="s">
        <v>640</v>
      </c>
      <c r="B142" s="29" t="s">
        <v>641</v>
      </c>
      <c r="C142" s="40">
        <v>1.0</v>
      </c>
      <c r="D142" s="41" t="s">
        <v>14</v>
      </c>
      <c r="E142" s="25">
        <v>46045.0</v>
      </c>
      <c r="F142" s="26">
        <v>0.59375</v>
      </c>
      <c r="G142" s="43">
        <f t="shared" si="1"/>
        <v>0.6041666667</v>
      </c>
      <c r="H142" s="13" t="s">
        <v>642</v>
      </c>
      <c r="I142" s="41" t="s">
        <v>17</v>
      </c>
      <c r="J142" s="29" t="s">
        <v>643</v>
      </c>
      <c r="K142" s="12">
        <f>IFERROR(__xludf.DUMMYFUNCTION("COUNTUNIQUE($A$2:A142)"),135.0)</f>
        <v>135</v>
      </c>
    </row>
    <row r="143">
      <c r="A143" s="29" t="s">
        <v>714</v>
      </c>
      <c r="B143" s="29" t="s">
        <v>1393</v>
      </c>
      <c r="C143" s="40">
        <v>1.0</v>
      </c>
      <c r="D143" s="41" t="s">
        <v>14</v>
      </c>
      <c r="E143" s="25">
        <v>46045.0</v>
      </c>
      <c r="F143" s="26">
        <v>0.6041666666666666</v>
      </c>
      <c r="G143" s="43">
        <f t="shared" si="1"/>
        <v>0.6145833333</v>
      </c>
      <c r="H143" s="13" t="s">
        <v>140</v>
      </c>
      <c r="I143" s="41" t="s">
        <v>17</v>
      </c>
      <c r="J143" s="29" t="s">
        <v>716</v>
      </c>
      <c r="K143" s="12">
        <f>IFERROR(__xludf.DUMMYFUNCTION("COUNTUNIQUE($A$2:A143)"),136.0)</f>
        <v>136</v>
      </c>
    </row>
    <row r="144">
      <c r="A144" s="29" t="s">
        <v>645</v>
      </c>
      <c r="B144" s="29" t="s">
        <v>646</v>
      </c>
      <c r="C144" s="40">
        <v>1.0</v>
      </c>
      <c r="D144" s="41" t="s">
        <v>14</v>
      </c>
      <c r="E144" s="25">
        <v>46045.0</v>
      </c>
      <c r="F144" s="26">
        <v>0.6145833333333334</v>
      </c>
      <c r="G144" s="43">
        <f t="shared" si="1"/>
        <v>0.625</v>
      </c>
      <c r="H144" s="13" t="s">
        <v>647</v>
      </c>
      <c r="I144" s="41" t="s">
        <v>17</v>
      </c>
      <c r="J144" s="29" t="s">
        <v>648</v>
      </c>
      <c r="K144" s="12">
        <f>IFERROR(__xludf.DUMMYFUNCTION("COUNTUNIQUE($A$2:A144)"),137.0)</f>
        <v>137</v>
      </c>
    </row>
    <row r="145">
      <c r="A145" s="29" t="s">
        <v>650</v>
      </c>
      <c r="B145" s="29" t="s">
        <v>651</v>
      </c>
      <c r="C145" s="40">
        <v>1.0</v>
      </c>
      <c r="D145" s="41" t="s">
        <v>14</v>
      </c>
      <c r="E145" s="25">
        <v>46045.0</v>
      </c>
      <c r="F145" s="26">
        <v>0.625</v>
      </c>
      <c r="G145" s="43">
        <f t="shared" si="1"/>
        <v>0.6354166667</v>
      </c>
      <c r="H145" s="13" t="s">
        <v>140</v>
      </c>
      <c r="I145" s="41" t="s">
        <v>17</v>
      </c>
      <c r="J145" s="29" t="s">
        <v>652</v>
      </c>
      <c r="K145" s="12">
        <f>IFERROR(__xludf.DUMMYFUNCTION("COUNTUNIQUE($A$2:A145)"),138.0)</f>
        <v>138</v>
      </c>
    </row>
    <row r="146">
      <c r="A146" s="29" t="s">
        <v>654</v>
      </c>
      <c r="B146" s="29" t="s">
        <v>655</v>
      </c>
      <c r="C146" s="40">
        <v>1.0</v>
      </c>
      <c r="D146" s="41" t="s">
        <v>14</v>
      </c>
      <c r="E146" s="25">
        <v>46045.0</v>
      </c>
      <c r="F146" s="26">
        <v>0.6354166666666666</v>
      </c>
      <c r="G146" s="43">
        <f t="shared" si="1"/>
        <v>0.6458333333</v>
      </c>
      <c r="H146" s="13" t="s">
        <v>656</v>
      </c>
      <c r="I146" s="41" t="s">
        <v>17</v>
      </c>
      <c r="J146" s="29" t="s">
        <v>657</v>
      </c>
      <c r="K146" s="12">
        <f>IFERROR(__xludf.DUMMYFUNCTION("COUNTUNIQUE($A$2:A146)"),139.0)</f>
        <v>139</v>
      </c>
    </row>
    <row r="147">
      <c r="A147" s="29" t="s">
        <v>659</v>
      </c>
      <c r="B147" s="29" t="s">
        <v>660</v>
      </c>
      <c r="C147" s="40">
        <v>1.0</v>
      </c>
      <c r="D147" s="41" t="s">
        <v>14</v>
      </c>
      <c r="E147" s="25">
        <v>46045.0</v>
      </c>
      <c r="F147" s="26">
        <v>0.6666666666666666</v>
      </c>
      <c r="G147" s="43">
        <f t="shared" si="1"/>
        <v>0.6770833333</v>
      </c>
      <c r="H147" s="13" t="s">
        <v>661</v>
      </c>
      <c r="I147" s="41" t="s">
        <v>17</v>
      </c>
      <c r="J147" s="29" t="s">
        <v>662</v>
      </c>
      <c r="K147" s="12">
        <f>IFERROR(__xludf.DUMMYFUNCTION("COUNTUNIQUE($A$2:A147)"),140.0)</f>
        <v>140</v>
      </c>
    </row>
    <row r="148">
      <c r="A148" s="29" t="s">
        <v>664</v>
      </c>
      <c r="B148" s="29" t="s">
        <v>665</v>
      </c>
      <c r="C148" s="40">
        <v>1.0</v>
      </c>
      <c r="D148" s="41" t="s">
        <v>14</v>
      </c>
      <c r="E148" s="25">
        <v>46045.0</v>
      </c>
      <c r="F148" s="26">
        <v>0.6770833333333334</v>
      </c>
      <c r="G148" s="43">
        <f t="shared" si="1"/>
        <v>0.6875</v>
      </c>
      <c r="H148" s="13" t="s">
        <v>198</v>
      </c>
      <c r="I148" s="41" t="s">
        <v>17</v>
      </c>
      <c r="J148" s="29" t="s">
        <v>666</v>
      </c>
      <c r="K148" s="12">
        <f>IFERROR(__xludf.DUMMYFUNCTION("COUNTUNIQUE($A$2:A148)"),141.0)</f>
        <v>141</v>
      </c>
    </row>
    <row r="149">
      <c r="A149" s="29" t="s">
        <v>668</v>
      </c>
      <c r="B149" s="29" t="s">
        <v>669</v>
      </c>
      <c r="C149" s="40">
        <v>1.0</v>
      </c>
      <c r="D149" s="41" t="s">
        <v>14</v>
      </c>
      <c r="E149" s="25">
        <v>46045.0</v>
      </c>
      <c r="F149" s="26">
        <v>0.6875</v>
      </c>
      <c r="G149" s="43">
        <f t="shared" si="1"/>
        <v>0.6979166667</v>
      </c>
      <c r="H149" s="13" t="s">
        <v>612</v>
      </c>
      <c r="I149" s="41" t="s">
        <v>17</v>
      </c>
      <c r="J149" s="29" t="s">
        <v>670</v>
      </c>
      <c r="K149" s="12">
        <f>IFERROR(__xludf.DUMMYFUNCTION("COUNTUNIQUE($A$2:A149)"),142.0)</f>
        <v>142</v>
      </c>
    </row>
    <row r="150">
      <c r="A150" s="29" t="s">
        <v>672</v>
      </c>
      <c r="B150" s="29" t="s">
        <v>673</v>
      </c>
      <c r="C150" s="40">
        <v>1.0</v>
      </c>
      <c r="D150" s="41" t="s">
        <v>14</v>
      </c>
      <c r="E150" s="25">
        <v>46045.0</v>
      </c>
      <c r="F150" s="26">
        <v>0.6979166666666666</v>
      </c>
      <c r="G150" s="43">
        <f t="shared" si="1"/>
        <v>0.7083333333</v>
      </c>
      <c r="H150" s="13" t="s">
        <v>120</v>
      </c>
      <c r="I150" s="41" t="s">
        <v>17</v>
      </c>
      <c r="J150" s="29" t="s">
        <v>399</v>
      </c>
      <c r="K150" s="12">
        <f>IFERROR(__xludf.DUMMYFUNCTION("COUNTUNIQUE($A$2:A150)"),143.0)</f>
        <v>143</v>
      </c>
    </row>
    <row r="151">
      <c r="A151" s="29" t="s">
        <v>675</v>
      </c>
      <c r="B151" s="29" t="s">
        <v>676</v>
      </c>
      <c r="C151" s="40">
        <v>1.0</v>
      </c>
      <c r="D151" s="41" t="s">
        <v>14</v>
      </c>
      <c r="E151" s="25">
        <v>46045.0</v>
      </c>
      <c r="F151" s="26">
        <v>0.7083333333333334</v>
      </c>
      <c r="G151" s="43">
        <f t="shared" si="1"/>
        <v>0.71875</v>
      </c>
      <c r="H151" s="13" t="s">
        <v>120</v>
      </c>
      <c r="I151" s="41" t="s">
        <v>17</v>
      </c>
      <c r="J151" s="29" t="s">
        <v>677</v>
      </c>
      <c r="K151" s="12">
        <f>IFERROR(__xludf.DUMMYFUNCTION("COUNTUNIQUE($A$2:A151)"),144.0)</f>
        <v>144</v>
      </c>
    </row>
    <row r="152">
      <c r="A152" s="29" t="s">
        <v>679</v>
      </c>
      <c r="B152" s="29" t="s">
        <v>680</v>
      </c>
      <c r="C152" s="40">
        <v>1.0</v>
      </c>
      <c r="D152" s="41" t="s">
        <v>14</v>
      </c>
      <c r="E152" s="25">
        <v>46045.0</v>
      </c>
      <c r="F152" s="26">
        <v>0.71875</v>
      </c>
      <c r="G152" s="43">
        <f t="shared" si="1"/>
        <v>0.7291666667</v>
      </c>
      <c r="H152" s="13" t="s">
        <v>198</v>
      </c>
      <c r="I152" s="41" t="s">
        <v>17</v>
      </c>
      <c r="J152" s="29" t="s">
        <v>681</v>
      </c>
      <c r="K152" s="12">
        <f>IFERROR(__xludf.DUMMYFUNCTION("COUNTUNIQUE($A$2:A152)"),145.0)</f>
        <v>145</v>
      </c>
    </row>
    <row r="153">
      <c r="A153" s="29" t="s">
        <v>683</v>
      </c>
      <c r="B153" s="29" t="s">
        <v>684</v>
      </c>
      <c r="C153" s="40">
        <v>1.0</v>
      </c>
      <c r="D153" s="41" t="s">
        <v>14</v>
      </c>
      <c r="E153" s="25">
        <v>46045.0</v>
      </c>
      <c r="F153" s="26">
        <v>0.7291666666666666</v>
      </c>
      <c r="G153" s="43">
        <f t="shared" si="1"/>
        <v>0.7395833333</v>
      </c>
      <c r="H153" s="13" t="s">
        <v>685</v>
      </c>
      <c r="I153" s="41" t="s">
        <v>17</v>
      </c>
      <c r="J153" s="29" t="s">
        <v>686</v>
      </c>
      <c r="K153" s="12">
        <f>IFERROR(__xludf.DUMMYFUNCTION("COUNTUNIQUE($A$2:A153)"),146.0)</f>
        <v>146</v>
      </c>
    </row>
    <row r="154">
      <c r="A154" s="29" t="s">
        <v>688</v>
      </c>
      <c r="B154" s="29" t="s">
        <v>689</v>
      </c>
      <c r="C154" s="40">
        <v>1.0</v>
      </c>
      <c r="D154" s="41" t="s">
        <v>14</v>
      </c>
      <c r="E154" s="25">
        <v>46045.0</v>
      </c>
      <c r="F154" s="26">
        <v>0.7604166666666666</v>
      </c>
      <c r="G154" s="43">
        <f t="shared" si="1"/>
        <v>0.7708333333</v>
      </c>
      <c r="H154" s="13" t="s">
        <v>690</v>
      </c>
      <c r="I154" s="41" t="s">
        <v>17</v>
      </c>
      <c r="J154" s="29" t="s">
        <v>691</v>
      </c>
      <c r="K154" s="12">
        <f>IFERROR(__xludf.DUMMYFUNCTION("COUNTUNIQUE($A$2:A154)"),146.0)</f>
        <v>146</v>
      </c>
    </row>
    <row r="155">
      <c r="A155" s="29" t="s">
        <v>1235</v>
      </c>
      <c r="B155" s="29" t="s">
        <v>694</v>
      </c>
      <c r="C155" s="40">
        <v>1.0</v>
      </c>
      <c r="D155" s="41" t="s">
        <v>14</v>
      </c>
      <c r="E155" s="25">
        <v>46045.0</v>
      </c>
      <c r="F155" s="26">
        <v>0.7708333333333334</v>
      </c>
      <c r="G155" s="43">
        <f t="shared" si="1"/>
        <v>0.78125</v>
      </c>
      <c r="H155" s="13" t="s">
        <v>695</v>
      </c>
      <c r="I155" s="41" t="s">
        <v>17</v>
      </c>
      <c r="J155" s="29" t="s">
        <v>151</v>
      </c>
      <c r="K155" s="12">
        <f>IFERROR(__xludf.DUMMYFUNCTION("COUNTUNIQUE($A$2:A155)"),147.0)</f>
        <v>147</v>
      </c>
    </row>
    <row r="156">
      <c r="A156" s="29" t="s">
        <v>697</v>
      </c>
      <c r="B156" s="29" t="s">
        <v>698</v>
      </c>
      <c r="C156" s="40">
        <v>1.0</v>
      </c>
      <c r="D156" s="41" t="s">
        <v>14</v>
      </c>
      <c r="E156" s="25">
        <v>46045.0</v>
      </c>
      <c r="F156" s="26">
        <v>0.78125</v>
      </c>
      <c r="G156" s="43">
        <f t="shared" si="1"/>
        <v>0.7916666667</v>
      </c>
      <c r="H156" s="13" t="s">
        <v>140</v>
      </c>
      <c r="I156" s="41" t="s">
        <v>17</v>
      </c>
      <c r="J156" s="29" t="s">
        <v>699</v>
      </c>
      <c r="K156" s="12">
        <f>IFERROR(__xludf.DUMMYFUNCTION("COUNTUNIQUE($A$2:A156)"),147.0)</f>
        <v>147</v>
      </c>
    </row>
    <row r="157">
      <c r="A157" s="29" t="s">
        <v>701</v>
      </c>
      <c r="B157" s="29" t="s">
        <v>702</v>
      </c>
      <c r="C157" s="40">
        <v>1.0</v>
      </c>
      <c r="D157" s="41" t="s">
        <v>14</v>
      </c>
      <c r="E157" s="25">
        <v>46045.0</v>
      </c>
      <c r="F157" s="26">
        <v>0.7916666666666666</v>
      </c>
      <c r="G157" s="43">
        <f t="shared" si="1"/>
        <v>0.8020833333</v>
      </c>
      <c r="H157" s="13" t="s">
        <v>703</v>
      </c>
      <c r="I157" s="41" t="s">
        <v>17</v>
      </c>
      <c r="J157" s="29" t="s">
        <v>704</v>
      </c>
      <c r="K157" s="12">
        <f>IFERROR(__xludf.DUMMYFUNCTION("COUNTUNIQUE($A$2:A157)"),148.0)</f>
        <v>148</v>
      </c>
    </row>
    <row r="158">
      <c r="A158" s="29" t="s">
        <v>706</v>
      </c>
      <c r="B158" s="29" t="s">
        <v>707</v>
      </c>
      <c r="C158" s="40">
        <v>1.0</v>
      </c>
      <c r="D158" s="41" t="s">
        <v>14</v>
      </c>
      <c r="E158" s="25">
        <v>46045.0</v>
      </c>
      <c r="F158" s="26">
        <v>0.8020833333333334</v>
      </c>
      <c r="G158" s="43">
        <f t="shared" si="1"/>
        <v>0.8125</v>
      </c>
      <c r="H158" s="13" t="s">
        <v>16</v>
      </c>
      <c r="I158" s="41" t="s">
        <v>17</v>
      </c>
      <c r="J158" s="29" t="s">
        <v>708</v>
      </c>
      <c r="K158" s="12">
        <f>IFERROR(__xludf.DUMMYFUNCTION("COUNTUNIQUE($A$2:A158)"),149.0)</f>
        <v>149</v>
      </c>
    </row>
    <row r="159">
      <c r="A159" s="29" t="s">
        <v>710</v>
      </c>
      <c r="B159" s="29" t="s">
        <v>711</v>
      </c>
      <c r="C159" s="40">
        <v>1.0</v>
      </c>
      <c r="D159" s="41" t="s">
        <v>14</v>
      </c>
      <c r="E159" s="25">
        <v>46045.0</v>
      </c>
      <c r="F159" s="26">
        <v>0.8125</v>
      </c>
      <c r="G159" s="43">
        <f t="shared" si="1"/>
        <v>0.8229166667</v>
      </c>
      <c r="H159" s="13" t="s">
        <v>510</v>
      </c>
      <c r="I159" s="41" t="s">
        <v>17</v>
      </c>
      <c r="J159" s="29" t="s">
        <v>712</v>
      </c>
      <c r="K159" s="12">
        <f>IFERROR(__xludf.DUMMYFUNCTION("COUNTUNIQUE($A$2:A159)"),150.0)</f>
        <v>150</v>
      </c>
    </row>
    <row r="160">
      <c r="A160" s="29" t="s">
        <v>714</v>
      </c>
      <c r="B160" s="29" t="s">
        <v>715</v>
      </c>
      <c r="C160" s="40">
        <v>1.0</v>
      </c>
      <c r="D160" s="41" t="s">
        <v>14</v>
      </c>
      <c r="E160" s="25">
        <v>46045.0</v>
      </c>
      <c r="F160" s="26">
        <v>0.8229166666666666</v>
      </c>
      <c r="G160" s="43">
        <f t="shared" si="1"/>
        <v>0.8333333333</v>
      </c>
      <c r="H160" s="13" t="s">
        <v>198</v>
      </c>
      <c r="I160" s="41" t="s">
        <v>17</v>
      </c>
      <c r="J160" s="29" t="s">
        <v>716</v>
      </c>
      <c r="K160" s="12">
        <f>IFERROR(__xludf.DUMMYFUNCTION("COUNTUNIQUE($A$2:A160)"),150.0)</f>
        <v>150</v>
      </c>
    </row>
    <row r="161">
      <c r="A161" s="29" t="s">
        <v>718</v>
      </c>
      <c r="B161" s="29" t="s">
        <v>719</v>
      </c>
      <c r="C161" s="40">
        <v>1.0</v>
      </c>
      <c r="D161" s="41" t="s">
        <v>14</v>
      </c>
      <c r="E161" s="25">
        <v>46045.0</v>
      </c>
      <c r="F161" s="26">
        <v>0.8333333333333334</v>
      </c>
      <c r="G161" s="43">
        <f t="shared" si="1"/>
        <v>0.84375</v>
      </c>
      <c r="H161" s="13" t="s">
        <v>720</v>
      </c>
      <c r="I161" s="41" t="s">
        <v>17</v>
      </c>
      <c r="J161" s="29" t="s">
        <v>721</v>
      </c>
      <c r="K161" s="12">
        <f>IFERROR(__xludf.DUMMYFUNCTION("COUNTUNIQUE($A$2:A161)"),150.0)</f>
        <v>150</v>
      </c>
    </row>
    <row r="162">
      <c r="A162" s="38"/>
      <c r="J162" s="24"/>
    </row>
    <row r="163">
      <c r="A163" s="38"/>
      <c r="J163" s="24"/>
    </row>
    <row r="164">
      <c r="A164" s="38"/>
      <c r="J164" s="24"/>
    </row>
    <row r="165">
      <c r="A165" s="38"/>
      <c r="J165" s="24"/>
    </row>
    <row r="166">
      <c r="A166" s="38"/>
      <c r="J166" s="24"/>
    </row>
    <row r="167">
      <c r="A167" s="38"/>
      <c r="J167" s="24"/>
    </row>
    <row r="168">
      <c r="A168" s="38"/>
      <c r="J168" s="24"/>
    </row>
    <row r="169">
      <c r="A169" s="38"/>
      <c r="J169" s="24"/>
    </row>
    <row r="170">
      <c r="A170" s="38"/>
      <c r="J170" s="24"/>
    </row>
    <row r="171">
      <c r="A171" s="38"/>
      <c r="J171" s="24"/>
    </row>
    <row r="172">
      <c r="A172" s="38"/>
      <c r="J172" s="24"/>
    </row>
    <row r="173">
      <c r="A173" s="38"/>
      <c r="J173" s="24"/>
    </row>
    <row r="174">
      <c r="A174" s="38"/>
      <c r="J174" s="24"/>
    </row>
    <row r="175">
      <c r="A175" s="38"/>
      <c r="J175" s="24"/>
    </row>
    <row r="176">
      <c r="A176" s="38"/>
      <c r="J176" s="24"/>
    </row>
    <row r="177">
      <c r="A177" s="38"/>
      <c r="J177" s="24"/>
    </row>
    <row r="178">
      <c r="A178" s="38"/>
      <c r="J178" s="24"/>
    </row>
    <row r="179">
      <c r="A179" s="38"/>
      <c r="J179" s="24"/>
    </row>
    <row r="180">
      <c r="A180" s="38"/>
      <c r="J180" s="24"/>
    </row>
    <row r="181">
      <c r="A181" s="38"/>
      <c r="J181" s="24"/>
    </row>
    <row r="182">
      <c r="A182" s="38"/>
      <c r="J182" s="24"/>
    </row>
    <row r="183">
      <c r="A183" s="38"/>
      <c r="J183" s="24"/>
    </row>
    <row r="184">
      <c r="A184" s="38"/>
      <c r="J184" s="24"/>
    </row>
    <row r="185">
      <c r="A185" s="38"/>
      <c r="J185" s="24"/>
    </row>
    <row r="186">
      <c r="A186" s="38"/>
      <c r="J186" s="24"/>
    </row>
    <row r="187">
      <c r="A187" s="38"/>
      <c r="J187" s="24"/>
    </row>
    <row r="188">
      <c r="A188" s="38"/>
      <c r="J188" s="24"/>
    </row>
    <row r="189">
      <c r="A189" s="38"/>
      <c r="J189" s="24"/>
    </row>
    <row r="190">
      <c r="A190" s="38"/>
      <c r="J190" s="24"/>
    </row>
    <row r="191">
      <c r="A191" s="38"/>
      <c r="J191" s="24"/>
    </row>
    <row r="192">
      <c r="A192" s="38"/>
      <c r="J192" s="24"/>
    </row>
    <row r="193">
      <c r="A193" s="38"/>
      <c r="J193" s="24"/>
    </row>
    <row r="194">
      <c r="A194" s="38"/>
      <c r="J194" s="24"/>
    </row>
    <row r="195">
      <c r="A195" s="38"/>
      <c r="J195" s="24"/>
    </row>
    <row r="196">
      <c r="A196" s="38"/>
      <c r="J196" s="24"/>
    </row>
    <row r="197">
      <c r="A197" s="38"/>
      <c r="J197" s="24"/>
    </row>
    <row r="198">
      <c r="A198" s="38"/>
      <c r="J198" s="24"/>
    </row>
    <row r="199">
      <c r="A199" s="38"/>
      <c r="J199" s="24"/>
    </row>
    <row r="200">
      <c r="A200" s="38"/>
      <c r="J200" s="24"/>
    </row>
    <row r="201">
      <c r="A201" s="38"/>
      <c r="J201" s="24"/>
    </row>
    <row r="202">
      <c r="A202" s="38"/>
      <c r="J202" s="24"/>
    </row>
    <row r="203">
      <c r="A203" s="38"/>
      <c r="J203" s="24"/>
    </row>
    <row r="204">
      <c r="A204" s="38"/>
      <c r="J204" s="24"/>
    </row>
    <row r="205">
      <c r="A205" s="38"/>
      <c r="J205" s="24"/>
    </row>
    <row r="206">
      <c r="A206" s="38"/>
      <c r="J206" s="24"/>
    </row>
    <row r="207">
      <c r="A207" s="38"/>
      <c r="J207" s="24"/>
    </row>
    <row r="208">
      <c r="A208" s="38"/>
      <c r="J208" s="24"/>
    </row>
    <row r="209">
      <c r="A209" s="38"/>
      <c r="J209" s="24"/>
    </row>
    <row r="210">
      <c r="A210" s="38"/>
      <c r="J210" s="24"/>
    </row>
    <row r="211">
      <c r="A211" s="38"/>
      <c r="J211" s="24"/>
    </row>
    <row r="212">
      <c r="A212" s="38"/>
      <c r="J212" s="24"/>
    </row>
    <row r="213">
      <c r="A213" s="38"/>
      <c r="J213" s="24"/>
    </row>
    <row r="214">
      <c r="A214" s="38"/>
      <c r="J214" s="24"/>
    </row>
    <row r="215">
      <c r="A215" s="38"/>
      <c r="J215" s="24"/>
    </row>
    <row r="216">
      <c r="A216" s="38"/>
      <c r="J216" s="24"/>
    </row>
    <row r="217">
      <c r="A217" s="38"/>
      <c r="J217" s="24"/>
    </row>
    <row r="218">
      <c r="A218" s="38"/>
      <c r="J218" s="24"/>
    </row>
    <row r="219">
      <c r="A219" s="38"/>
      <c r="J219" s="24"/>
    </row>
    <row r="220">
      <c r="A220" s="38"/>
      <c r="J220" s="24"/>
    </row>
    <row r="221">
      <c r="A221" s="38"/>
      <c r="J221" s="24"/>
    </row>
    <row r="222">
      <c r="A222" s="38"/>
      <c r="J222" s="24"/>
    </row>
    <row r="223">
      <c r="A223" s="38"/>
      <c r="J223" s="24"/>
    </row>
    <row r="224">
      <c r="A224" s="38"/>
      <c r="J224" s="24"/>
    </row>
    <row r="225">
      <c r="A225" s="38"/>
      <c r="J225" s="24"/>
    </row>
    <row r="226">
      <c r="A226" s="38"/>
      <c r="J226" s="24"/>
    </row>
    <row r="227">
      <c r="A227" s="38"/>
      <c r="J227" s="24"/>
    </row>
    <row r="228">
      <c r="A228" s="38"/>
      <c r="J228" s="24"/>
    </row>
    <row r="229">
      <c r="A229" s="38"/>
      <c r="J229" s="24"/>
    </row>
    <row r="230">
      <c r="A230" s="38"/>
      <c r="J230" s="24"/>
    </row>
    <row r="231">
      <c r="A231" s="38"/>
      <c r="J231" s="24"/>
    </row>
    <row r="232">
      <c r="A232" s="38"/>
      <c r="J232" s="24"/>
    </row>
    <row r="233">
      <c r="A233" s="38"/>
      <c r="J233" s="24"/>
    </row>
    <row r="234">
      <c r="A234" s="38"/>
      <c r="J234" s="24"/>
    </row>
    <row r="235">
      <c r="A235" s="38"/>
      <c r="J235" s="24"/>
    </row>
    <row r="236">
      <c r="A236" s="38"/>
      <c r="J236" s="24"/>
    </row>
    <row r="237">
      <c r="A237" s="38"/>
      <c r="J237" s="24"/>
    </row>
    <row r="238">
      <c r="A238" s="38"/>
      <c r="J238" s="24"/>
    </row>
    <row r="239">
      <c r="A239" s="38"/>
      <c r="J239" s="24"/>
    </row>
    <row r="240">
      <c r="A240" s="38"/>
      <c r="J240" s="24"/>
    </row>
    <row r="241">
      <c r="A241" s="38"/>
      <c r="J241" s="24"/>
    </row>
    <row r="242">
      <c r="A242" s="38"/>
      <c r="J242" s="24"/>
    </row>
    <row r="243">
      <c r="A243" s="38"/>
      <c r="J243" s="24"/>
    </row>
    <row r="244">
      <c r="A244" s="38"/>
      <c r="J244" s="24"/>
    </row>
    <row r="245">
      <c r="A245" s="38"/>
      <c r="J245" s="24"/>
    </row>
    <row r="246">
      <c r="A246" s="38"/>
      <c r="J246" s="24"/>
    </row>
    <row r="247">
      <c r="A247" s="38"/>
      <c r="J247" s="24"/>
    </row>
    <row r="248">
      <c r="A248" s="38"/>
      <c r="J248" s="24"/>
    </row>
    <row r="249">
      <c r="A249" s="38"/>
      <c r="J249" s="24"/>
    </row>
    <row r="250">
      <c r="A250" s="38"/>
      <c r="J250" s="24"/>
    </row>
    <row r="251">
      <c r="A251" s="38"/>
      <c r="J251" s="24"/>
    </row>
    <row r="252">
      <c r="A252" s="38"/>
      <c r="J252" s="24"/>
    </row>
    <row r="253">
      <c r="A253" s="38"/>
      <c r="J253" s="24"/>
    </row>
    <row r="254">
      <c r="A254" s="38"/>
      <c r="J254" s="24"/>
    </row>
    <row r="255">
      <c r="A255" s="38"/>
      <c r="J255" s="24"/>
    </row>
    <row r="256">
      <c r="A256" s="38"/>
      <c r="J256" s="24"/>
    </row>
    <row r="257">
      <c r="A257" s="38"/>
      <c r="J257" s="24"/>
    </row>
    <row r="258">
      <c r="A258" s="38"/>
      <c r="J258" s="24"/>
    </row>
    <row r="259">
      <c r="A259" s="38"/>
      <c r="J259" s="24"/>
    </row>
    <row r="260">
      <c r="A260" s="38"/>
      <c r="J260" s="24"/>
    </row>
    <row r="261">
      <c r="A261" s="38"/>
      <c r="J261" s="24"/>
    </row>
    <row r="262">
      <c r="A262" s="38"/>
      <c r="J262" s="24"/>
    </row>
    <row r="263">
      <c r="A263" s="38"/>
      <c r="J263" s="24"/>
    </row>
    <row r="264">
      <c r="A264" s="38"/>
      <c r="J264" s="24"/>
    </row>
    <row r="265">
      <c r="A265" s="38"/>
      <c r="J265" s="24"/>
    </row>
    <row r="266">
      <c r="A266" s="38"/>
      <c r="J266" s="24"/>
    </row>
    <row r="267">
      <c r="A267" s="38"/>
      <c r="J267" s="24"/>
    </row>
    <row r="268">
      <c r="A268" s="38"/>
      <c r="J268" s="24"/>
    </row>
    <row r="269">
      <c r="A269" s="38"/>
      <c r="J269" s="24"/>
    </row>
    <row r="270">
      <c r="A270" s="38"/>
      <c r="J270" s="24"/>
    </row>
    <row r="271">
      <c r="A271" s="38"/>
      <c r="J271" s="24"/>
    </row>
    <row r="272">
      <c r="A272" s="38"/>
      <c r="J272" s="24"/>
    </row>
    <row r="273">
      <c r="A273" s="38"/>
      <c r="J273" s="24"/>
    </row>
    <row r="274">
      <c r="A274" s="38"/>
      <c r="J274" s="24"/>
    </row>
    <row r="275">
      <c r="A275" s="38"/>
      <c r="J275" s="24"/>
    </row>
    <row r="276">
      <c r="A276" s="38"/>
      <c r="J276" s="24"/>
    </row>
    <row r="277">
      <c r="A277" s="38"/>
      <c r="J277" s="24"/>
    </row>
    <row r="278">
      <c r="A278" s="38"/>
      <c r="J278" s="24"/>
    </row>
    <row r="279">
      <c r="A279" s="38"/>
      <c r="J279" s="24"/>
    </row>
    <row r="280">
      <c r="A280" s="38"/>
      <c r="J280" s="24"/>
    </row>
    <row r="281">
      <c r="A281" s="38"/>
      <c r="J281" s="24"/>
    </row>
    <row r="282">
      <c r="A282" s="38"/>
      <c r="J282" s="24"/>
    </row>
    <row r="283">
      <c r="A283" s="38"/>
      <c r="J283" s="24"/>
    </row>
    <row r="284">
      <c r="A284" s="38"/>
      <c r="J284" s="24"/>
    </row>
    <row r="285">
      <c r="A285" s="38"/>
      <c r="J285" s="24"/>
    </row>
    <row r="286">
      <c r="A286" s="38"/>
      <c r="J286" s="24"/>
    </row>
    <row r="287">
      <c r="A287" s="38"/>
      <c r="J287" s="24"/>
    </row>
    <row r="288">
      <c r="A288" s="38"/>
      <c r="J288" s="24"/>
    </row>
    <row r="289">
      <c r="A289" s="38"/>
      <c r="J289" s="24"/>
    </row>
    <row r="290">
      <c r="A290" s="38"/>
      <c r="J290" s="24"/>
    </row>
    <row r="291">
      <c r="A291" s="38"/>
      <c r="J291" s="24"/>
    </row>
    <row r="292">
      <c r="A292" s="38"/>
      <c r="J292" s="24"/>
    </row>
    <row r="293">
      <c r="A293" s="38"/>
      <c r="J293" s="24"/>
    </row>
    <row r="294">
      <c r="A294" s="38"/>
      <c r="J294" s="24"/>
    </row>
    <row r="295">
      <c r="A295" s="38"/>
      <c r="J295" s="24"/>
    </row>
    <row r="296">
      <c r="A296" s="38"/>
      <c r="J296" s="24"/>
    </row>
    <row r="297">
      <c r="A297" s="38"/>
      <c r="J297" s="24"/>
    </row>
    <row r="298">
      <c r="A298" s="38"/>
      <c r="J298" s="24"/>
    </row>
    <row r="299">
      <c r="A299" s="38"/>
      <c r="J299" s="24"/>
    </row>
    <row r="300">
      <c r="A300" s="38"/>
      <c r="J300" s="24"/>
    </row>
    <row r="301">
      <c r="A301" s="38"/>
      <c r="J301" s="24"/>
    </row>
    <row r="302">
      <c r="A302" s="38"/>
      <c r="J302" s="24"/>
    </row>
    <row r="303">
      <c r="A303" s="38"/>
      <c r="J303" s="24"/>
    </row>
    <row r="304">
      <c r="A304" s="38"/>
      <c r="J304" s="24"/>
    </row>
    <row r="305">
      <c r="A305" s="38"/>
      <c r="J305" s="24"/>
    </row>
    <row r="306">
      <c r="A306" s="38"/>
      <c r="J306" s="24"/>
    </row>
    <row r="307">
      <c r="A307" s="38"/>
      <c r="J307" s="24"/>
    </row>
    <row r="308">
      <c r="A308" s="38"/>
      <c r="J308" s="24"/>
    </row>
    <row r="309">
      <c r="A309" s="38"/>
      <c r="J309" s="24"/>
    </row>
    <row r="310">
      <c r="A310" s="38"/>
      <c r="J310" s="24"/>
    </row>
    <row r="311">
      <c r="A311" s="38"/>
      <c r="J311" s="24"/>
    </row>
    <row r="312">
      <c r="A312" s="38"/>
      <c r="J312" s="24"/>
    </row>
    <row r="313">
      <c r="A313" s="38"/>
      <c r="J313" s="24"/>
    </row>
    <row r="314">
      <c r="A314" s="38"/>
      <c r="J314" s="24"/>
    </row>
    <row r="315">
      <c r="A315" s="38"/>
      <c r="J315" s="24"/>
    </row>
    <row r="316">
      <c r="A316" s="38"/>
      <c r="J316" s="24"/>
    </row>
    <row r="317">
      <c r="A317" s="38"/>
      <c r="J317" s="24"/>
    </row>
    <row r="318">
      <c r="A318" s="38"/>
      <c r="J318" s="24"/>
    </row>
    <row r="319">
      <c r="A319" s="38"/>
      <c r="J319" s="24"/>
    </row>
    <row r="320">
      <c r="A320" s="38"/>
      <c r="J320" s="24"/>
    </row>
    <row r="321">
      <c r="A321" s="38"/>
      <c r="J321" s="24"/>
    </row>
    <row r="322">
      <c r="A322" s="38"/>
      <c r="J322" s="24"/>
    </row>
    <row r="323">
      <c r="A323" s="38"/>
      <c r="J323" s="24"/>
    </row>
    <row r="324">
      <c r="A324" s="38"/>
      <c r="J324" s="24"/>
    </row>
    <row r="325">
      <c r="A325" s="38"/>
      <c r="J325" s="24"/>
    </row>
    <row r="326">
      <c r="A326" s="38"/>
      <c r="J326" s="24"/>
    </row>
    <row r="327">
      <c r="A327" s="38"/>
      <c r="J327" s="24"/>
    </row>
    <row r="328">
      <c r="A328" s="38"/>
      <c r="J328" s="24"/>
    </row>
    <row r="329">
      <c r="A329" s="38"/>
      <c r="J329" s="24"/>
    </row>
    <row r="330">
      <c r="A330" s="38"/>
      <c r="J330" s="24"/>
    </row>
    <row r="331">
      <c r="A331" s="38"/>
      <c r="J331" s="24"/>
    </row>
    <row r="332">
      <c r="A332" s="38"/>
      <c r="J332" s="24"/>
    </row>
    <row r="333">
      <c r="A333" s="38"/>
      <c r="J333" s="24"/>
    </row>
    <row r="334">
      <c r="A334" s="38"/>
      <c r="J334" s="24"/>
    </row>
    <row r="335">
      <c r="A335" s="38"/>
      <c r="J335" s="24"/>
    </row>
    <row r="336">
      <c r="A336" s="38"/>
      <c r="J336" s="24"/>
    </row>
    <row r="337">
      <c r="A337" s="38"/>
      <c r="J337" s="24"/>
    </row>
    <row r="338">
      <c r="A338" s="38"/>
      <c r="J338" s="24"/>
    </row>
    <row r="339">
      <c r="A339" s="38"/>
      <c r="J339" s="24"/>
    </row>
    <row r="340">
      <c r="A340" s="38"/>
      <c r="J340" s="24"/>
    </row>
    <row r="341">
      <c r="A341" s="38"/>
      <c r="J341" s="24"/>
    </row>
    <row r="342">
      <c r="A342" s="38"/>
      <c r="J342" s="24"/>
    </row>
    <row r="343">
      <c r="A343" s="38"/>
      <c r="J343" s="24"/>
    </row>
    <row r="344">
      <c r="A344" s="38"/>
      <c r="J344" s="24"/>
    </row>
    <row r="345">
      <c r="A345" s="38"/>
      <c r="J345" s="24"/>
    </row>
    <row r="346">
      <c r="A346" s="38"/>
      <c r="J346" s="24"/>
    </row>
    <row r="347">
      <c r="A347" s="38"/>
      <c r="J347" s="24"/>
    </row>
    <row r="348">
      <c r="A348" s="38"/>
      <c r="J348" s="24"/>
    </row>
    <row r="349">
      <c r="A349" s="38"/>
      <c r="J349" s="24"/>
    </row>
    <row r="350">
      <c r="A350" s="38"/>
      <c r="J350" s="24"/>
    </row>
    <row r="351">
      <c r="A351" s="38"/>
      <c r="J351" s="24"/>
    </row>
    <row r="352">
      <c r="A352" s="38"/>
      <c r="J352" s="24"/>
    </row>
    <row r="353">
      <c r="A353" s="38"/>
      <c r="J353" s="24"/>
    </row>
    <row r="354">
      <c r="A354" s="38"/>
      <c r="J354" s="24"/>
    </row>
    <row r="355">
      <c r="A355" s="38"/>
      <c r="J355" s="24"/>
    </row>
    <row r="356">
      <c r="A356" s="38"/>
      <c r="J356" s="24"/>
    </row>
    <row r="357">
      <c r="A357" s="38"/>
      <c r="J357" s="24"/>
    </row>
    <row r="358">
      <c r="A358" s="38"/>
      <c r="J358" s="24"/>
    </row>
    <row r="359">
      <c r="A359" s="38"/>
      <c r="J359" s="24"/>
    </row>
    <row r="360">
      <c r="A360" s="38"/>
      <c r="J360" s="24"/>
    </row>
    <row r="361">
      <c r="A361" s="38"/>
      <c r="J361" s="24"/>
    </row>
    <row r="362">
      <c r="A362" s="38"/>
      <c r="J362" s="24"/>
    </row>
    <row r="363">
      <c r="A363" s="38"/>
      <c r="J363" s="24"/>
    </row>
    <row r="364">
      <c r="A364" s="38"/>
      <c r="J364" s="24"/>
    </row>
    <row r="365">
      <c r="A365" s="38"/>
      <c r="J365" s="24"/>
    </row>
    <row r="366">
      <c r="A366" s="38"/>
      <c r="J366" s="24"/>
    </row>
    <row r="367">
      <c r="A367" s="38"/>
      <c r="J367" s="24"/>
    </row>
    <row r="368">
      <c r="A368" s="38"/>
      <c r="J368" s="24"/>
    </row>
    <row r="369">
      <c r="A369" s="38"/>
      <c r="J369" s="24"/>
    </row>
    <row r="370">
      <c r="A370" s="38"/>
      <c r="J370" s="24"/>
    </row>
    <row r="371">
      <c r="A371" s="38"/>
      <c r="J371" s="24"/>
    </row>
    <row r="372">
      <c r="A372" s="38"/>
      <c r="J372" s="24"/>
    </row>
    <row r="373">
      <c r="A373" s="38"/>
      <c r="J373" s="24"/>
    </row>
    <row r="374">
      <c r="A374" s="38"/>
      <c r="J374" s="24"/>
    </row>
    <row r="375">
      <c r="A375" s="38"/>
      <c r="J375" s="24"/>
    </row>
    <row r="376">
      <c r="A376" s="38"/>
      <c r="J376" s="24"/>
    </row>
    <row r="377">
      <c r="A377" s="38"/>
      <c r="J377" s="24"/>
    </row>
    <row r="378">
      <c r="A378" s="38"/>
      <c r="J378" s="24"/>
    </row>
    <row r="379">
      <c r="A379" s="38"/>
      <c r="J379" s="24"/>
    </row>
    <row r="380">
      <c r="A380" s="38"/>
      <c r="J380" s="24"/>
    </row>
    <row r="381">
      <c r="A381" s="38"/>
      <c r="J381" s="24"/>
    </row>
    <row r="382">
      <c r="A382" s="38"/>
      <c r="J382" s="24"/>
    </row>
    <row r="383">
      <c r="A383" s="38"/>
      <c r="J383" s="24"/>
    </row>
    <row r="384">
      <c r="A384" s="38"/>
      <c r="J384" s="24"/>
    </row>
    <row r="385">
      <c r="A385" s="38"/>
      <c r="J385" s="24"/>
    </row>
    <row r="386">
      <c r="A386" s="38"/>
      <c r="J386" s="24"/>
    </row>
    <row r="387">
      <c r="A387" s="38"/>
      <c r="J387" s="24"/>
    </row>
    <row r="388">
      <c r="A388" s="38"/>
      <c r="J388" s="24"/>
    </row>
    <row r="389">
      <c r="A389" s="38"/>
      <c r="J389" s="24"/>
    </row>
    <row r="390">
      <c r="A390" s="38"/>
      <c r="J390" s="24"/>
    </row>
    <row r="391">
      <c r="A391" s="38"/>
      <c r="J391" s="24"/>
    </row>
    <row r="392">
      <c r="A392" s="38"/>
      <c r="J392" s="24"/>
    </row>
    <row r="393">
      <c r="A393" s="38"/>
      <c r="J393" s="24"/>
    </row>
    <row r="394">
      <c r="A394" s="38"/>
      <c r="J394" s="24"/>
    </row>
    <row r="395">
      <c r="A395" s="38"/>
      <c r="J395" s="24"/>
    </row>
    <row r="396">
      <c r="A396" s="38"/>
      <c r="J396" s="24"/>
    </row>
    <row r="397">
      <c r="A397" s="38"/>
      <c r="J397" s="24"/>
    </row>
    <row r="398">
      <c r="A398" s="38"/>
      <c r="J398" s="24"/>
    </row>
    <row r="399">
      <c r="A399" s="38"/>
      <c r="J399" s="24"/>
    </row>
    <row r="400">
      <c r="A400" s="38"/>
      <c r="J400" s="24"/>
    </row>
    <row r="401">
      <c r="A401" s="38"/>
      <c r="J401" s="24"/>
    </row>
    <row r="402">
      <c r="A402" s="38"/>
      <c r="J402" s="24"/>
    </row>
    <row r="403">
      <c r="A403" s="38"/>
      <c r="J403" s="24"/>
    </row>
    <row r="404">
      <c r="A404" s="38"/>
      <c r="J404" s="24"/>
    </row>
    <row r="405">
      <c r="A405" s="38"/>
      <c r="J405" s="24"/>
    </row>
    <row r="406">
      <c r="A406" s="38"/>
      <c r="J406" s="24"/>
    </row>
    <row r="407">
      <c r="A407" s="38"/>
      <c r="J407" s="24"/>
    </row>
    <row r="408">
      <c r="A408" s="38"/>
      <c r="J408" s="24"/>
    </row>
    <row r="409">
      <c r="A409" s="38"/>
      <c r="J409" s="24"/>
    </row>
    <row r="410">
      <c r="A410" s="38"/>
      <c r="J410" s="24"/>
    </row>
    <row r="411">
      <c r="A411" s="38"/>
      <c r="J411" s="24"/>
    </row>
    <row r="412">
      <c r="A412" s="38"/>
      <c r="J412" s="24"/>
    </row>
    <row r="413">
      <c r="A413" s="38"/>
      <c r="J413" s="24"/>
    </row>
    <row r="414">
      <c r="A414" s="38"/>
      <c r="J414" s="24"/>
    </row>
    <row r="415">
      <c r="A415" s="38"/>
      <c r="J415" s="24"/>
    </row>
    <row r="416">
      <c r="A416" s="38"/>
      <c r="J416" s="24"/>
    </row>
    <row r="417">
      <c r="A417" s="38"/>
      <c r="J417" s="24"/>
    </row>
    <row r="418">
      <c r="A418" s="38"/>
      <c r="J418" s="24"/>
    </row>
    <row r="419">
      <c r="A419" s="38"/>
      <c r="J419" s="24"/>
    </row>
    <row r="420">
      <c r="A420" s="38"/>
      <c r="J420" s="24"/>
    </row>
    <row r="421">
      <c r="A421" s="38"/>
      <c r="J421" s="24"/>
    </row>
    <row r="422">
      <c r="A422" s="38"/>
      <c r="J422" s="24"/>
    </row>
    <row r="423">
      <c r="A423" s="38"/>
      <c r="J423" s="24"/>
    </row>
    <row r="424">
      <c r="A424" s="38"/>
      <c r="J424" s="24"/>
    </row>
    <row r="425">
      <c r="A425" s="38"/>
      <c r="J425" s="24"/>
    </row>
    <row r="426">
      <c r="A426" s="38"/>
      <c r="J426" s="24"/>
    </row>
    <row r="427">
      <c r="A427" s="38"/>
      <c r="J427" s="24"/>
    </row>
    <row r="428">
      <c r="A428" s="38"/>
      <c r="J428" s="24"/>
    </row>
    <row r="429">
      <c r="A429" s="38"/>
      <c r="J429" s="24"/>
    </row>
    <row r="430">
      <c r="A430" s="38"/>
      <c r="J430" s="24"/>
    </row>
    <row r="431">
      <c r="A431" s="38"/>
      <c r="J431" s="24"/>
    </row>
    <row r="432">
      <c r="A432" s="38"/>
      <c r="J432" s="24"/>
    </row>
    <row r="433">
      <c r="A433" s="38"/>
      <c r="J433" s="24"/>
    </row>
    <row r="434">
      <c r="A434" s="38"/>
      <c r="J434" s="24"/>
    </row>
    <row r="435">
      <c r="A435" s="38"/>
      <c r="J435" s="24"/>
    </row>
    <row r="436">
      <c r="A436" s="38"/>
      <c r="J436" s="24"/>
    </row>
    <row r="437">
      <c r="A437" s="38"/>
      <c r="J437" s="24"/>
    </row>
    <row r="438">
      <c r="A438" s="38"/>
      <c r="J438" s="24"/>
    </row>
    <row r="439">
      <c r="A439" s="38"/>
      <c r="J439" s="24"/>
    </row>
    <row r="440">
      <c r="A440" s="38"/>
      <c r="J440" s="24"/>
    </row>
    <row r="441">
      <c r="A441" s="38"/>
      <c r="J441" s="24"/>
    </row>
    <row r="442">
      <c r="A442" s="38"/>
      <c r="J442" s="24"/>
    </row>
    <row r="443">
      <c r="A443" s="38"/>
      <c r="J443" s="24"/>
    </row>
    <row r="444">
      <c r="A444" s="38"/>
      <c r="J444" s="24"/>
    </row>
    <row r="445">
      <c r="A445" s="38"/>
      <c r="J445" s="24"/>
    </row>
    <row r="446">
      <c r="A446" s="38"/>
      <c r="J446" s="24"/>
    </row>
    <row r="447">
      <c r="A447" s="38"/>
      <c r="J447" s="24"/>
    </row>
    <row r="448">
      <c r="A448" s="38"/>
      <c r="J448" s="24"/>
    </row>
    <row r="449">
      <c r="A449" s="38"/>
      <c r="J449" s="24"/>
    </row>
    <row r="450">
      <c r="A450" s="38"/>
      <c r="J450" s="24"/>
    </row>
    <row r="451">
      <c r="A451" s="38"/>
      <c r="J451" s="24"/>
    </row>
    <row r="452">
      <c r="A452" s="38"/>
      <c r="J452" s="24"/>
    </row>
    <row r="453">
      <c r="A453" s="38"/>
      <c r="J453" s="24"/>
    </row>
    <row r="454">
      <c r="A454" s="38"/>
      <c r="J454" s="24"/>
    </row>
    <row r="455">
      <c r="A455" s="38"/>
      <c r="J455" s="24"/>
    </row>
    <row r="456">
      <c r="A456" s="38"/>
      <c r="J456" s="24"/>
    </row>
    <row r="457">
      <c r="A457" s="38"/>
      <c r="J457" s="24"/>
    </row>
    <row r="458">
      <c r="A458" s="38"/>
      <c r="J458" s="24"/>
    </row>
    <row r="459">
      <c r="A459" s="38"/>
      <c r="J459" s="24"/>
    </row>
    <row r="460">
      <c r="A460" s="38"/>
      <c r="J460" s="24"/>
    </row>
    <row r="461">
      <c r="A461" s="38"/>
      <c r="J461" s="24"/>
    </row>
    <row r="462">
      <c r="A462" s="38"/>
      <c r="J462" s="24"/>
    </row>
    <row r="463">
      <c r="A463" s="38"/>
      <c r="J463" s="24"/>
    </row>
    <row r="464">
      <c r="A464" s="38"/>
      <c r="J464" s="24"/>
    </row>
    <row r="465">
      <c r="A465" s="38"/>
      <c r="J465" s="24"/>
    </row>
    <row r="466">
      <c r="A466" s="38"/>
      <c r="J466" s="24"/>
    </row>
    <row r="467">
      <c r="A467" s="38"/>
      <c r="J467" s="24"/>
    </row>
    <row r="468">
      <c r="A468" s="38"/>
      <c r="J468" s="24"/>
    </row>
    <row r="469">
      <c r="A469" s="38"/>
      <c r="J469" s="24"/>
    </row>
    <row r="470">
      <c r="A470" s="38"/>
      <c r="J470" s="24"/>
    </row>
    <row r="471">
      <c r="A471" s="38"/>
      <c r="J471" s="24"/>
    </row>
    <row r="472">
      <c r="A472" s="38"/>
      <c r="J472" s="24"/>
    </row>
    <row r="473">
      <c r="A473" s="38"/>
      <c r="J473" s="24"/>
    </row>
    <row r="474">
      <c r="A474" s="38"/>
      <c r="J474" s="24"/>
    </row>
    <row r="475">
      <c r="A475" s="38"/>
      <c r="J475" s="24"/>
    </row>
    <row r="476">
      <c r="A476" s="38"/>
      <c r="J476" s="24"/>
    </row>
    <row r="477">
      <c r="A477" s="38"/>
      <c r="J477" s="24"/>
    </row>
    <row r="478">
      <c r="A478" s="38"/>
      <c r="J478" s="24"/>
    </row>
    <row r="479">
      <c r="A479" s="38"/>
      <c r="J479" s="24"/>
    </row>
    <row r="480">
      <c r="A480" s="38"/>
      <c r="J480" s="24"/>
    </row>
    <row r="481">
      <c r="A481" s="38"/>
      <c r="J481" s="24"/>
    </row>
    <row r="482">
      <c r="A482" s="38"/>
      <c r="J482" s="24"/>
    </row>
    <row r="483">
      <c r="A483" s="38"/>
      <c r="J483" s="24"/>
    </row>
    <row r="484">
      <c r="A484" s="38"/>
      <c r="J484" s="24"/>
    </row>
    <row r="485">
      <c r="A485" s="38"/>
      <c r="J485" s="24"/>
    </row>
    <row r="486">
      <c r="A486" s="38"/>
      <c r="J486" s="24"/>
    </row>
    <row r="487">
      <c r="A487" s="38"/>
      <c r="J487" s="24"/>
    </row>
    <row r="488">
      <c r="A488" s="38"/>
      <c r="J488" s="24"/>
    </row>
    <row r="489">
      <c r="A489" s="38"/>
      <c r="J489" s="24"/>
    </row>
    <row r="490">
      <c r="A490" s="38"/>
      <c r="J490" s="24"/>
    </row>
    <row r="491">
      <c r="A491" s="38"/>
      <c r="J491" s="24"/>
    </row>
    <row r="492">
      <c r="A492" s="38"/>
      <c r="J492" s="24"/>
    </row>
    <row r="493">
      <c r="A493" s="38"/>
      <c r="J493" s="24"/>
    </row>
    <row r="494">
      <c r="A494" s="38"/>
      <c r="J494" s="24"/>
    </row>
    <row r="495">
      <c r="A495" s="38"/>
      <c r="J495" s="24"/>
    </row>
    <row r="496">
      <c r="A496" s="38"/>
      <c r="J496" s="24"/>
    </row>
    <row r="497">
      <c r="A497" s="38"/>
      <c r="J497" s="24"/>
    </row>
    <row r="498">
      <c r="A498" s="38"/>
      <c r="J498" s="24"/>
    </row>
    <row r="499">
      <c r="A499" s="38"/>
      <c r="J499" s="24"/>
    </row>
    <row r="500">
      <c r="A500" s="38"/>
      <c r="J500" s="24"/>
    </row>
    <row r="501">
      <c r="A501" s="38"/>
      <c r="J501" s="24"/>
    </row>
    <row r="502">
      <c r="A502" s="38"/>
      <c r="J502" s="24"/>
    </row>
    <row r="503">
      <c r="A503" s="38"/>
      <c r="J503" s="24"/>
    </row>
    <row r="504">
      <c r="A504" s="38"/>
      <c r="J504" s="24"/>
    </row>
    <row r="505">
      <c r="A505" s="38"/>
      <c r="J505" s="24"/>
    </row>
    <row r="506">
      <c r="A506" s="38"/>
      <c r="J506" s="24"/>
    </row>
    <row r="507">
      <c r="A507" s="38"/>
      <c r="J507" s="24"/>
    </row>
    <row r="508">
      <c r="A508" s="38"/>
      <c r="J508" s="24"/>
    </row>
    <row r="509">
      <c r="A509" s="38"/>
      <c r="J509" s="24"/>
    </row>
    <row r="510">
      <c r="A510" s="38"/>
      <c r="J510" s="24"/>
    </row>
    <row r="511">
      <c r="A511" s="38"/>
      <c r="J511" s="24"/>
    </row>
    <row r="512">
      <c r="A512" s="38"/>
      <c r="J512" s="24"/>
    </row>
    <row r="513">
      <c r="A513" s="38"/>
      <c r="J513" s="24"/>
    </row>
    <row r="514">
      <c r="A514" s="38"/>
      <c r="J514" s="24"/>
    </row>
    <row r="515">
      <c r="A515" s="38"/>
      <c r="J515" s="24"/>
    </row>
    <row r="516">
      <c r="A516" s="38"/>
      <c r="J516" s="24"/>
    </row>
    <row r="517">
      <c r="A517" s="38"/>
      <c r="J517" s="24"/>
    </row>
    <row r="518">
      <c r="A518" s="38"/>
      <c r="J518" s="24"/>
    </row>
    <row r="519">
      <c r="A519" s="38"/>
      <c r="J519" s="24"/>
    </row>
    <row r="520">
      <c r="A520" s="38"/>
      <c r="J520" s="24"/>
    </row>
    <row r="521">
      <c r="A521" s="38"/>
      <c r="J521" s="24"/>
    </row>
    <row r="522">
      <c r="A522" s="38"/>
      <c r="J522" s="24"/>
    </row>
    <row r="523">
      <c r="A523" s="38"/>
      <c r="J523" s="24"/>
    </row>
    <row r="524">
      <c r="A524" s="38"/>
      <c r="J524" s="24"/>
    </row>
    <row r="525">
      <c r="A525" s="38"/>
      <c r="J525" s="24"/>
    </row>
    <row r="526">
      <c r="A526" s="38"/>
      <c r="J526" s="24"/>
    </row>
    <row r="527">
      <c r="A527" s="38"/>
      <c r="J527" s="24"/>
    </row>
    <row r="528">
      <c r="A528" s="38"/>
      <c r="J528" s="24"/>
    </row>
    <row r="529">
      <c r="A529" s="38"/>
      <c r="J529" s="24"/>
    </row>
    <row r="530">
      <c r="A530" s="38"/>
      <c r="J530" s="24"/>
    </row>
    <row r="531">
      <c r="A531" s="38"/>
      <c r="J531" s="24"/>
    </row>
    <row r="532">
      <c r="A532" s="38"/>
      <c r="J532" s="24"/>
    </row>
    <row r="533">
      <c r="A533" s="38"/>
      <c r="J533" s="24"/>
    </row>
    <row r="534">
      <c r="A534" s="38"/>
      <c r="J534" s="24"/>
    </row>
    <row r="535">
      <c r="A535" s="38"/>
      <c r="J535" s="24"/>
    </row>
    <row r="536">
      <c r="A536" s="38"/>
      <c r="J536" s="24"/>
    </row>
    <row r="537">
      <c r="A537" s="38"/>
      <c r="J537" s="24"/>
    </row>
    <row r="538">
      <c r="A538" s="38"/>
      <c r="J538" s="24"/>
    </row>
    <row r="539">
      <c r="A539" s="38"/>
      <c r="J539" s="24"/>
    </row>
    <row r="540">
      <c r="A540" s="38"/>
      <c r="J540" s="24"/>
    </row>
    <row r="541">
      <c r="A541" s="38"/>
      <c r="J541" s="24"/>
    </row>
    <row r="542">
      <c r="A542" s="38"/>
      <c r="J542" s="24"/>
    </row>
    <row r="543">
      <c r="A543" s="38"/>
      <c r="J543" s="24"/>
    </row>
    <row r="544">
      <c r="A544" s="38"/>
      <c r="J544" s="24"/>
    </row>
    <row r="545">
      <c r="A545" s="38"/>
      <c r="J545" s="24"/>
    </row>
    <row r="546">
      <c r="A546" s="38"/>
      <c r="J546" s="24"/>
    </row>
    <row r="547">
      <c r="A547" s="38"/>
      <c r="J547" s="24"/>
    </row>
    <row r="548">
      <c r="A548" s="38"/>
      <c r="J548" s="24"/>
    </row>
    <row r="549">
      <c r="A549" s="38"/>
      <c r="J549" s="24"/>
    </row>
    <row r="550">
      <c r="A550" s="38"/>
      <c r="J550" s="24"/>
    </row>
    <row r="551">
      <c r="A551" s="38"/>
      <c r="J551" s="24"/>
    </row>
    <row r="552">
      <c r="A552" s="38"/>
      <c r="J552" s="24"/>
    </row>
    <row r="553">
      <c r="A553" s="38"/>
      <c r="J553" s="24"/>
    </row>
    <row r="554">
      <c r="A554" s="38"/>
      <c r="J554" s="24"/>
    </row>
    <row r="555">
      <c r="A555" s="38"/>
      <c r="J555" s="24"/>
    </row>
    <row r="556">
      <c r="A556" s="38"/>
      <c r="J556" s="24"/>
    </row>
    <row r="557">
      <c r="A557" s="38"/>
      <c r="J557" s="24"/>
    </row>
    <row r="558">
      <c r="A558" s="38"/>
      <c r="J558" s="24"/>
    </row>
    <row r="559">
      <c r="A559" s="38"/>
      <c r="J559" s="24"/>
    </row>
    <row r="560">
      <c r="A560" s="38"/>
      <c r="J560" s="24"/>
    </row>
    <row r="561">
      <c r="A561" s="38"/>
      <c r="J561" s="24"/>
    </row>
    <row r="562">
      <c r="A562" s="38"/>
      <c r="J562" s="24"/>
    </row>
    <row r="563">
      <c r="A563" s="38"/>
      <c r="J563" s="24"/>
    </row>
    <row r="564">
      <c r="A564" s="38"/>
      <c r="J564" s="24"/>
    </row>
    <row r="565">
      <c r="A565" s="38"/>
      <c r="J565" s="24"/>
    </row>
    <row r="566">
      <c r="A566" s="38"/>
      <c r="J566" s="24"/>
    </row>
    <row r="567">
      <c r="A567" s="38"/>
      <c r="J567" s="24"/>
    </row>
    <row r="568">
      <c r="A568" s="38"/>
      <c r="J568" s="24"/>
    </row>
    <row r="569">
      <c r="A569" s="38"/>
      <c r="J569" s="24"/>
    </row>
    <row r="570">
      <c r="A570" s="38"/>
      <c r="J570" s="24"/>
    </row>
    <row r="571">
      <c r="A571" s="38"/>
      <c r="J571" s="24"/>
    </row>
    <row r="572">
      <c r="A572" s="38"/>
      <c r="J572" s="24"/>
    </row>
    <row r="573">
      <c r="A573" s="38"/>
      <c r="J573" s="24"/>
    </row>
    <row r="574">
      <c r="A574" s="38"/>
      <c r="J574" s="24"/>
    </row>
    <row r="575">
      <c r="A575" s="38"/>
      <c r="J575" s="24"/>
    </row>
    <row r="576">
      <c r="A576" s="38"/>
      <c r="J576" s="24"/>
    </row>
    <row r="577">
      <c r="A577" s="38"/>
      <c r="J577" s="24"/>
    </row>
    <row r="578">
      <c r="A578" s="38"/>
      <c r="J578" s="24"/>
    </row>
    <row r="579">
      <c r="A579" s="38"/>
      <c r="J579" s="24"/>
    </row>
    <row r="580">
      <c r="A580" s="38"/>
      <c r="J580" s="24"/>
    </row>
    <row r="581">
      <c r="A581" s="38"/>
      <c r="J581" s="24"/>
    </row>
    <row r="582">
      <c r="A582" s="38"/>
      <c r="J582" s="24"/>
    </row>
    <row r="583">
      <c r="A583" s="38"/>
      <c r="J583" s="24"/>
    </row>
    <row r="584">
      <c r="A584" s="38"/>
      <c r="J584" s="24"/>
    </row>
    <row r="585">
      <c r="A585" s="38"/>
      <c r="J585" s="24"/>
    </row>
    <row r="586">
      <c r="A586" s="38"/>
      <c r="J586" s="24"/>
    </row>
    <row r="587">
      <c r="A587" s="38"/>
      <c r="J587" s="24"/>
    </row>
    <row r="588">
      <c r="A588" s="38"/>
      <c r="J588" s="24"/>
    </row>
    <row r="589">
      <c r="A589" s="38"/>
      <c r="J589" s="24"/>
    </row>
    <row r="590">
      <c r="A590" s="38"/>
      <c r="J590" s="24"/>
    </row>
    <row r="591">
      <c r="A591" s="38"/>
      <c r="J591" s="24"/>
    </row>
    <row r="592">
      <c r="A592" s="38"/>
      <c r="J592" s="24"/>
    </row>
    <row r="593">
      <c r="A593" s="38"/>
      <c r="J593" s="24"/>
    </row>
    <row r="594">
      <c r="A594" s="38"/>
      <c r="J594" s="24"/>
    </row>
    <row r="595">
      <c r="A595" s="38"/>
      <c r="J595" s="24"/>
    </row>
    <row r="596">
      <c r="A596" s="38"/>
      <c r="J596" s="24"/>
    </row>
    <row r="597">
      <c r="A597" s="38"/>
      <c r="J597" s="24"/>
    </row>
    <row r="598">
      <c r="A598" s="38"/>
      <c r="J598" s="24"/>
    </row>
    <row r="599">
      <c r="A599" s="38"/>
      <c r="J599" s="24"/>
    </row>
    <row r="600">
      <c r="A600" s="38"/>
      <c r="J600" s="24"/>
    </row>
    <row r="601">
      <c r="A601" s="38"/>
      <c r="J601" s="24"/>
    </row>
    <row r="602">
      <c r="A602" s="38"/>
      <c r="J602" s="24"/>
    </row>
    <row r="603">
      <c r="A603" s="38"/>
      <c r="J603" s="24"/>
    </row>
    <row r="604">
      <c r="A604" s="38"/>
      <c r="J604" s="24"/>
    </row>
    <row r="605">
      <c r="A605" s="38"/>
      <c r="J605" s="24"/>
    </row>
    <row r="606">
      <c r="A606" s="38"/>
      <c r="J606" s="24"/>
    </row>
    <row r="607">
      <c r="A607" s="38"/>
      <c r="J607" s="24"/>
    </row>
    <row r="608">
      <c r="A608" s="38"/>
      <c r="J608" s="24"/>
    </row>
    <row r="609">
      <c r="A609" s="38"/>
      <c r="J609" s="24"/>
    </row>
    <row r="610">
      <c r="A610" s="38"/>
      <c r="J610" s="24"/>
    </row>
    <row r="611">
      <c r="A611" s="38"/>
      <c r="J611" s="24"/>
    </row>
    <row r="612">
      <c r="A612" s="38"/>
      <c r="J612" s="24"/>
    </row>
    <row r="613">
      <c r="A613" s="38"/>
      <c r="J613" s="24"/>
    </row>
    <row r="614">
      <c r="A614" s="38"/>
      <c r="J614" s="24"/>
    </row>
    <row r="615">
      <c r="A615" s="38"/>
      <c r="J615" s="24"/>
    </row>
    <row r="616">
      <c r="A616" s="38"/>
      <c r="J616" s="24"/>
    </row>
    <row r="617">
      <c r="A617" s="38"/>
      <c r="J617" s="24"/>
    </row>
    <row r="618">
      <c r="A618" s="38"/>
      <c r="J618" s="24"/>
    </row>
    <row r="619">
      <c r="A619" s="38"/>
      <c r="J619" s="24"/>
    </row>
    <row r="620">
      <c r="A620" s="38"/>
      <c r="J620" s="24"/>
    </row>
    <row r="621">
      <c r="A621" s="38"/>
      <c r="J621" s="24"/>
    </row>
    <row r="622">
      <c r="A622" s="38"/>
      <c r="J622" s="24"/>
    </row>
    <row r="623">
      <c r="A623" s="38"/>
      <c r="J623" s="24"/>
    </row>
    <row r="624">
      <c r="A624" s="38"/>
      <c r="J624" s="24"/>
    </row>
    <row r="625">
      <c r="A625" s="38"/>
      <c r="J625" s="24"/>
    </row>
    <row r="626">
      <c r="A626" s="38"/>
      <c r="J626" s="24"/>
    </row>
    <row r="627">
      <c r="A627" s="38"/>
      <c r="J627" s="24"/>
    </row>
    <row r="628">
      <c r="A628" s="38"/>
      <c r="J628" s="24"/>
    </row>
    <row r="629">
      <c r="A629" s="38"/>
      <c r="J629" s="24"/>
    </row>
    <row r="630">
      <c r="A630" s="38"/>
      <c r="J630" s="24"/>
    </row>
    <row r="631">
      <c r="A631" s="38"/>
      <c r="J631" s="24"/>
    </row>
    <row r="632">
      <c r="A632" s="38"/>
      <c r="J632" s="24"/>
    </row>
    <row r="633">
      <c r="A633" s="38"/>
      <c r="J633" s="24"/>
    </row>
    <row r="634">
      <c r="A634" s="38"/>
      <c r="J634" s="24"/>
    </row>
    <row r="635">
      <c r="A635" s="38"/>
      <c r="J635" s="24"/>
    </row>
    <row r="636">
      <c r="A636" s="38"/>
      <c r="J636" s="24"/>
    </row>
    <row r="637">
      <c r="A637" s="38"/>
      <c r="J637" s="24"/>
    </row>
    <row r="638">
      <c r="A638" s="38"/>
      <c r="J638" s="24"/>
    </row>
    <row r="639">
      <c r="A639" s="38"/>
      <c r="J639" s="24"/>
    </row>
    <row r="640">
      <c r="A640" s="38"/>
      <c r="J640" s="24"/>
    </row>
    <row r="641">
      <c r="A641" s="38"/>
      <c r="J641" s="24"/>
    </row>
    <row r="642">
      <c r="A642" s="38"/>
      <c r="J642" s="24"/>
    </row>
    <row r="643">
      <c r="A643" s="38"/>
      <c r="J643" s="24"/>
    </row>
    <row r="644">
      <c r="A644" s="38"/>
      <c r="J644" s="24"/>
    </row>
    <row r="645">
      <c r="A645" s="38"/>
      <c r="J645" s="24"/>
    </row>
    <row r="646">
      <c r="A646" s="38"/>
      <c r="J646" s="24"/>
    </row>
    <row r="647">
      <c r="A647" s="38"/>
      <c r="J647" s="24"/>
    </row>
    <row r="648">
      <c r="A648" s="38"/>
      <c r="J648" s="24"/>
    </row>
    <row r="649">
      <c r="A649" s="38"/>
      <c r="J649" s="24"/>
    </row>
    <row r="650">
      <c r="A650" s="38"/>
      <c r="J650" s="24"/>
    </row>
    <row r="651">
      <c r="A651" s="38"/>
      <c r="J651" s="24"/>
    </row>
    <row r="652">
      <c r="A652" s="38"/>
      <c r="J652" s="24"/>
    </row>
    <row r="653">
      <c r="A653" s="38"/>
      <c r="J653" s="24"/>
    </row>
    <row r="654">
      <c r="A654" s="38"/>
      <c r="J654" s="24"/>
    </row>
    <row r="655">
      <c r="A655" s="38"/>
      <c r="J655" s="24"/>
    </row>
    <row r="656">
      <c r="A656" s="38"/>
      <c r="J656" s="24"/>
    </row>
    <row r="657">
      <c r="A657" s="38"/>
      <c r="J657" s="24"/>
    </row>
    <row r="658">
      <c r="A658" s="38"/>
      <c r="J658" s="24"/>
    </row>
    <row r="659">
      <c r="A659" s="38"/>
      <c r="J659" s="24"/>
    </row>
    <row r="660">
      <c r="A660" s="38"/>
      <c r="J660" s="24"/>
    </row>
    <row r="661">
      <c r="A661" s="38"/>
      <c r="J661" s="24"/>
    </row>
    <row r="662">
      <c r="A662" s="38"/>
      <c r="J662" s="24"/>
    </row>
    <row r="663">
      <c r="A663" s="38"/>
      <c r="J663" s="24"/>
    </row>
    <row r="664">
      <c r="A664" s="38"/>
      <c r="J664" s="24"/>
    </row>
    <row r="665">
      <c r="A665" s="38"/>
      <c r="J665" s="24"/>
    </row>
    <row r="666">
      <c r="A666" s="38"/>
      <c r="J666" s="24"/>
    </row>
    <row r="667">
      <c r="A667" s="38"/>
      <c r="J667" s="24"/>
    </row>
    <row r="668">
      <c r="A668" s="38"/>
      <c r="J668" s="24"/>
    </row>
    <row r="669">
      <c r="A669" s="38"/>
      <c r="J669" s="24"/>
    </row>
    <row r="670">
      <c r="A670" s="38"/>
      <c r="J670" s="24"/>
    </row>
    <row r="671">
      <c r="A671" s="38"/>
      <c r="J671" s="24"/>
    </row>
    <row r="672">
      <c r="A672" s="38"/>
      <c r="J672" s="24"/>
    </row>
    <row r="673">
      <c r="A673" s="38"/>
      <c r="J673" s="24"/>
    </row>
    <row r="674">
      <c r="A674" s="38"/>
      <c r="J674" s="24"/>
    </row>
    <row r="675">
      <c r="A675" s="38"/>
      <c r="J675" s="24"/>
    </row>
    <row r="676">
      <c r="A676" s="38"/>
      <c r="J676" s="24"/>
    </row>
    <row r="677">
      <c r="A677" s="38"/>
      <c r="J677" s="24"/>
    </row>
    <row r="678">
      <c r="A678" s="38"/>
      <c r="J678" s="24"/>
    </row>
    <row r="679">
      <c r="A679" s="38"/>
      <c r="J679" s="24"/>
    </row>
    <row r="680">
      <c r="A680" s="38"/>
      <c r="J680" s="24"/>
    </row>
    <row r="681">
      <c r="A681" s="38"/>
      <c r="J681" s="24"/>
    </row>
    <row r="682">
      <c r="A682" s="38"/>
      <c r="J682" s="24"/>
    </row>
    <row r="683">
      <c r="A683" s="38"/>
      <c r="J683" s="24"/>
    </row>
    <row r="684">
      <c r="A684" s="38"/>
      <c r="J684" s="24"/>
    </row>
    <row r="685">
      <c r="A685" s="38"/>
      <c r="J685" s="24"/>
    </row>
    <row r="686">
      <c r="A686" s="38"/>
      <c r="J686" s="24"/>
    </row>
    <row r="687">
      <c r="A687" s="38"/>
      <c r="J687" s="24"/>
    </row>
    <row r="688">
      <c r="A688" s="38"/>
      <c r="J688" s="24"/>
    </row>
    <row r="689">
      <c r="A689" s="38"/>
      <c r="J689" s="24"/>
    </row>
    <row r="690">
      <c r="A690" s="38"/>
      <c r="J690" s="24"/>
    </row>
    <row r="691">
      <c r="A691" s="38"/>
      <c r="J691" s="24"/>
    </row>
    <row r="692">
      <c r="A692" s="38"/>
      <c r="J692" s="24"/>
    </row>
    <row r="693">
      <c r="A693" s="38"/>
      <c r="J693" s="24"/>
    </row>
    <row r="694">
      <c r="A694" s="38"/>
      <c r="J694" s="24"/>
    </row>
    <row r="695">
      <c r="A695" s="38"/>
      <c r="J695" s="24"/>
    </row>
    <row r="696">
      <c r="A696" s="38"/>
      <c r="J696" s="24"/>
    </row>
    <row r="697">
      <c r="A697" s="38"/>
      <c r="J697" s="24"/>
    </row>
    <row r="698">
      <c r="A698" s="38"/>
      <c r="J698" s="24"/>
    </row>
    <row r="699">
      <c r="A699" s="38"/>
      <c r="J699" s="24"/>
    </row>
    <row r="700">
      <c r="A700" s="38"/>
      <c r="J700" s="24"/>
    </row>
    <row r="701">
      <c r="A701" s="38"/>
      <c r="J701" s="24"/>
    </row>
    <row r="702">
      <c r="A702" s="38"/>
      <c r="J702" s="24"/>
    </row>
    <row r="703">
      <c r="A703" s="38"/>
      <c r="J703" s="24"/>
    </row>
    <row r="704">
      <c r="A704" s="38"/>
      <c r="J704" s="24"/>
    </row>
    <row r="705">
      <c r="A705" s="38"/>
      <c r="J705" s="24"/>
    </row>
    <row r="706">
      <c r="A706" s="38"/>
      <c r="J706" s="24"/>
    </row>
    <row r="707">
      <c r="A707" s="38"/>
      <c r="J707" s="24"/>
    </row>
    <row r="708">
      <c r="A708" s="38"/>
      <c r="J708" s="24"/>
    </row>
    <row r="709">
      <c r="A709" s="38"/>
      <c r="J709" s="24"/>
    </row>
    <row r="710">
      <c r="A710" s="38"/>
      <c r="J710" s="24"/>
    </row>
    <row r="711">
      <c r="A711" s="38"/>
      <c r="J711" s="24"/>
    </row>
    <row r="712">
      <c r="A712" s="38"/>
      <c r="J712" s="24"/>
    </row>
    <row r="713">
      <c r="A713" s="38"/>
      <c r="J713" s="24"/>
    </row>
    <row r="714">
      <c r="A714" s="38"/>
      <c r="J714" s="24"/>
    </row>
    <row r="715">
      <c r="A715" s="38"/>
      <c r="J715" s="24"/>
    </row>
    <row r="716">
      <c r="A716" s="38"/>
      <c r="J716" s="24"/>
    </row>
    <row r="717">
      <c r="A717" s="38"/>
      <c r="J717" s="24"/>
    </row>
    <row r="718">
      <c r="A718" s="38"/>
      <c r="J718" s="24"/>
    </row>
    <row r="719">
      <c r="A719" s="38"/>
      <c r="J719" s="24"/>
    </row>
    <row r="720">
      <c r="A720" s="38"/>
      <c r="J720" s="24"/>
    </row>
    <row r="721">
      <c r="A721" s="38"/>
      <c r="J721" s="24"/>
    </row>
    <row r="722">
      <c r="A722" s="38"/>
      <c r="J722" s="24"/>
    </row>
    <row r="723">
      <c r="A723" s="38"/>
      <c r="J723" s="24"/>
    </row>
    <row r="724">
      <c r="A724" s="38"/>
      <c r="J724" s="24"/>
    </row>
    <row r="725">
      <c r="A725" s="38"/>
      <c r="J725" s="24"/>
    </row>
    <row r="726">
      <c r="A726" s="38"/>
      <c r="J726" s="24"/>
    </row>
    <row r="727">
      <c r="A727" s="38"/>
      <c r="J727" s="24"/>
    </row>
    <row r="728">
      <c r="A728" s="38"/>
      <c r="J728" s="24"/>
    </row>
    <row r="729">
      <c r="A729" s="38"/>
      <c r="J729" s="24"/>
    </row>
    <row r="730">
      <c r="A730" s="38"/>
      <c r="J730" s="24"/>
    </row>
    <row r="731">
      <c r="A731" s="38"/>
      <c r="J731" s="24"/>
    </row>
    <row r="732">
      <c r="A732" s="38"/>
      <c r="J732" s="24"/>
    </row>
    <row r="733">
      <c r="A733" s="38"/>
      <c r="J733" s="24"/>
    </row>
    <row r="734">
      <c r="A734" s="38"/>
      <c r="J734" s="24"/>
    </row>
    <row r="735">
      <c r="A735" s="38"/>
      <c r="J735" s="24"/>
    </row>
    <row r="736">
      <c r="A736" s="38"/>
      <c r="J736" s="24"/>
    </row>
    <row r="737">
      <c r="A737" s="38"/>
      <c r="J737" s="24"/>
    </row>
    <row r="738">
      <c r="A738" s="38"/>
      <c r="J738" s="24"/>
    </row>
    <row r="739">
      <c r="A739" s="38"/>
      <c r="J739" s="24"/>
    </row>
    <row r="740">
      <c r="A740" s="38"/>
      <c r="J740" s="24"/>
    </row>
    <row r="741">
      <c r="A741" s="38"/>
      <c r="J741" s="24"/>
    </row>
    <row r="742">
      <c r="A742" s="38"/>
      <c r="J742" s="24"/>
    </row>
    <row r="743">
      <c r="A743" s="38"/>
      <c r="J743" s="24"/>
    </row>
    <row r="744">
      <c r="A744" s="38"/>
      <c r="J744" s="24"/>
    </row>
    <row r="745">
      <c r="A745" s="38"/>
      <c r="J745" s="24"/>
    </row>
    <row r="746">
      <c r="A746" s="38"/>
      <c r="J746" s="24"/>
    </row>
    <row r="747">
      <c r="A747" s="38"/>
      <c r="J747" s="24"/>
    </row>
    <row r="748">
      <c r="A748" s="38"/>
      <c r="J748" s="24"/>
    </row>
    <row r="749">
      <c r="A749" s="38"/>
      <c r="J749" s="24"/>
    </row>
    <row r="750">
      <c r="A750" s="38"/>
      <c r="J750" s="24"/>
    </row>
    <row r="751">
      <c r="A751" s="38"/>
      <c r="J751" s="24"/>
    </row>
    <row r="752">
      <c r="A752" s="38"/>
      <c r="J752" s="24"/>
    </row>
    <row r="753">
      <c r="A753" s="38"/>
      <c r="J753" s="24"/>
    </row>
    <row r="754">
      <c r="A754" s="38"/>
      <c r="J754" s="24"/>
    </row>
    <row r="755">
      <c r="A755" s="38"/>
      <c r="J755" s="24"/>
    </row>
    <row r="756">
      <c r="A756" s="38"/>
      <c r="J756" s="24"/>
    </row>
    <row r="757">
      <c r="A757" s="38"/>
      <c r="J757" s="24"/>
    </row>
    <row r="758">
      <c r="A758" s="38"/>
      <c r="J758" s="24"/>
    </row>
    <row r="759">
      <c r="A759" s="38"/>
      <c r="J759" s="24"/>
    </row>
    <row r="760">
      <c r="A760" s="38"/>
      <c r="J760" s="24"/>
    </row>
    <row r="761">
      <c r="A761" s="38"/>
      <c r="J761" s="24"/>
    </row>
    <row r="762">
      <c r="A762" s="38"/>
      <c r="J762" s="24"/>
    </row>
    <row r="763">
      <c r="A763" s="38"/>
      <c r="J763" s="24"/>
    </row>
    <row r="764">
      <c r="A764" s="38"/>
      <c r="J764" s="24"/>
    </row>
    <row r="765">
      <c r="A765" s="38"/>
      <c r="J765" s="24"/>
    </row>
    <row r="766">
      <c r="A766" s="38"/>
      <c r="J766" s="24"/>
    </row>
    <row r="767">
      <c r="A767" s="38"/>
      <c r="J767" s="24"/>
    </row>
    <row r="768">
      <c r="A768" s="38"/>
      <c r="J768" s="24"/>
    </row>
    <row r="769">
      <c r="A769" s="38"/>
      <c r="J769" s="24"/>
    </row>
    <row r="770">
      <c r="A770" s="38"/>
      <c r="J770" s="24"/>
    </row>
    <row r="771">
      <c r="A771" s="38"/>
      <c r="J771" s="24"/>
    </row>
    <row r="772">
      <c r="A772" s="38"/>
      <c r="J772" s="24"/>
    </row>
    <row r="773">
      <c r="A773" s="38"/>
      <c r="J773" s="24"/>
    </row>
    <row r="774">
      <c r="A774" s="38"/>
      <c r="J774" s="24"/>
    </row>
    <row r="775">
      <c r="A775" s="38"/>
      <c r="J775" s="24"/>
    </row>
    <row r="776">
      <c r="A776" s="38"/>
      <c r="J776" s="24"/>
    </row>
    <row r="777">
      <c r="A777" s="38"/>
      <c r="J777" s="24"/>
    </row>
    <row r="778">
      <c r="A778" s="38"/>
      <c r="J778" s="24"/>
    </row>
    <row r="779">
      <c r="A779" s="38"/>
      <c r="J779" s="24"/>
    </row>
    <row r="780">
      <c r="A780" s="38"/>
      <c r="J780" s="24"/>
    </row>
    <row r="781">
      <c r="A781" s="38"/>
      <c r="J781" s="24"/>
    </row>
    <row r="782">
      <c r="A782" s="38"/>
      <c r="J782" s="24"/>
    </row>
    <row r="783">
      <c r="A783" s="38"/>
      <c r="J783" s="24"/>
    </row>
    <row r="784">
      <c r="A784" s="38"/>
      <c r="J784" s="24"/>
    </row>
    <row r="785">
      <c r="A785" s="38"/>
      <c r="J785" s="24"/>
    </row>
    <row r="786">
      <c r="A786" s="38"/>
      <c r="J786" s="24"/>
    </row>
    <row r="787">
      <c r="A787" s="38"/>
      <c r="J787" s="24"/>
    </row>
    <row r="788">
      <c r="A788" s="38"/>
      <c r="J788" s="24"/>
    </row>
    <row r="789">
      <c r="A789" s="38"/>
      <c r="J789" s="24"/>
    </row>
    <row r="790">
      <c r="A790" s="38"/>
      <c r="J790" s="24"/>
    </row>
    <row r="791">
      <c r="A791" s="38"/>
      <c r="J791" s="24"/>
    </row>
    <row r="792">
      <c r="A792" s="38"/>
      <c r="J792" s="24"/>
    </row>
    <row r="793">
      <c r="A793" s="38"/>
      <c r="J793" s="24"/>
    </row>
    <row r="794">
      <c r="A794" s="38"/>
      <c r="J794" s="24"/>
    </row>
    <row r="795">
      <c r="A795" s="38"/>
      <c r="J795" s="24"/>
    </row>
    <row r="796">
      <c r="A796" s="38"/>
      <c r="J796" s="24"/>
    </row>
    <row r="797">
      <c r="A797" s="38"/>
      <c r="J797" s="24"/>
    </row>
    <row r="798">
      <c r="A798" s="38"/>
      <c r="J798" s="24"/>
    </row>
    <row r="799">
      <c r="A799" s="38"/>
      <c r="J799" s="24"/>
    </row>
    <row r="800">
      <c r="A800" s="38"/>
      <c r="J800" s="24"/>
    </row>
    <row r="801">
      <c r="A801" s="38"/>
      <c r="J801" s="24"/>
    </row>
    <row r="802">
      <c r="A802" s="38"/>
      <c r="J802" s="24"/>
    </row>
    <row r="803">
      <c r="A803" s="38"/>
      <c r="J803" s="24"/>
    </row>
    <row r="804">
      <c r="A804" s="38"/>
      <c r="J804" s="24"/>
    </row>
    <row r="805">
      <c r="A805" s="38"/>
      <c r="J805" s="24"/>
    </row>
    <row r="806">
      <c r="A806" s="38"/>
      <c r="J806" s="24"/>
    </row>
    <row r="807">
      <c r="A807" s="38"/>
      <c r="J807" s="24"/>
    </row>
    <row r="808">
      <c r="A808" s="38"/>
      <c r="J808" s="24"/>
    </row>
    <row r="809">
      <c r="A809" s="38"/>
      <c r="J809" s="24"/>
    </row>
    <row r="810">
      <c r="A810" s="38"/>
      <c r="J810" s="24"/>
    </row>
    <row r="811">
      <c r="A811" s="38"/>
      <c r="J811" s="24"/>
    </row>
    <row r="812">
      <c r="A812" s="38"/>
      <c r="J812" s="24"/>
    </row>
    <row r="813">
      <c r="A813" s="38"/>
      <c r="J813" s="24"/>
    </row>
    <row r="814">
      <c r="A814" s="38"/>
      <c r="J814" s="24"/>
    </row>
    <row r="815">
      <c r="A815" s="38"/>
      <c r="J815" s="24"/>
    </row>
    <row r="816">
      <c r="A816" s="38"/>
      <c r="J816" s="24"/>
    </row>
    <row r="817">
      <c r="A817" s="38"/>
      <c r="J817" s="24"/>
    </row>
    <row r="818">
      <c r="A818" s="38"/>
      <c r="J818" s="24"/>
    </row>
    <row r="819">
      <c r="A819" s="38"/>
      <c r="J819" s="24"/>
    </row>
    <row r="820">
      <c r="A820" s="38"/>
      <c r="J820" s="24"/>
    </row>
    <row r="821">
      <c r="A821" s="38"/>
      <c r="J821" s="24"/>
    </row>
    <row r="822">
      <c r="A822" s="38"/>
      <c r="J822" s="24"/>
    </row>
    <row r="823">
      <c r="A823" s="38"/>
      <c r="J823" s="24"/>
    </row>
    <row r="824">
      <c r="A824" s="38"/>
      <c r="J824" s="24"/>
    </row>
    <row r="825">
      <c r="A825" s="38"/>
      <c r="J825" s="24"/>
    </row>
    <row r="826">
      <c r="A826" s="38"/>
      <c r="J826" s="24"/>
    </row>
    <row r="827">
      <c r="A827" s="38"/>
      <c r="J827" s="24"/>
    </row>
    <row r="828">
      <c r="A828" s="38"/>
      <c r="J828" s="24"/>
    </row>
    <row r="829">
      <c r="A829" s="38"/>
      <c r="J829" s="24"/>
    </row>
    <row r="830">
      <c r="A830" s="38"/>
      <c r="J830" s="24"/>
    </row>
    <row r="831">
      <c r="A831" s="38"/>
      <c r="J831" s="24"/>
    </row>
    <row r="832">
      <c r="A832" s="38"/>
      <c r="J832" s="24"/>
    </row>
    <row r="833">
      <c r="A833" s="38"/>
      <c r="J833" s="24"/>
    </row>
    <row r="834">
      <c r="A834" s="38"/>
      <c r="J834" s="24"/>
    </row>
    <row r="835">
      <c r="A835" s="38"/>
      <c r="J835" s="24"/>
    </row>
    <row r="836">
      <c r="A836" s="38"/>
      <c r="J836" s="24"/>
    </row>
    <row r="837">
      <c r="A837" s="38"/>
      <c r="J837" s="24"/>
    </row>
    <row r="838">
      <c r="A838" s="38"/>
      <c r="J838" s="24"/>
    </row>
    <row r="839">
      <c r="A839" s="38"/>
      <c r="J839" s="24"/>
    </row>
    <row r="840">
      <c r="A840" s="38"/>
      <c r="J840" s="24"/>
    </row>
    <row r="841">
      <c r="A841" s="38"/>
      <c r="J841" s="24"/>
    </row>
    <row r="842">
      <c r="A842" s="38"/>
      <c r="J842" s="24"/>
    </row>
    <row r="843">
      <c r="A843" s="38"/>
      <c r="J843" s="24"/>
    </row>
    <row r="844">
      <c r="A844" s="38"/>
      <c r="J844" s="24"/>
    </row>
    <row r="845">
      <c r="A845" s="38"/>
      <c r="J845" s="24"/>
    </row>
    <row r="846">
      <c r="A846" s="38"/>
      <c r="J846" s="24"/>
    </row>
    <row r="847">
      <c r="A847" s="38"/>
      <c r="J847" s="24"/>
    </row>
    <row r="848">
      <c r="A848" s="38"/>
      <c r="J848" s="24"/>
    </row>
    <row r="849">
      <c r="A849" s="38"/>
      <c r="J849" s="24"/>
    </row>
    <row r="850">
      <c r="A850" s="38"/>
      <c r="J850" s="24"/>
    </row>
    <row r="851">
      <c r="A851" s="38"/>
      <c r="J851" s="24"/>
    </row>
    <row r="852">
      <c r="A852" s="38"/>
      <c r="J852" s="24"/>
    </row>
    <row r="853">
      <c r="A853" s="38"/>
      <c r="J853" s="24"/>
    </row>
    <row r="854">
      <c r="A854" s="38"/>
      <c r="J854" s="24"/>
    </row>
    <row r="855">
      <c r="A855" s="38"/>
      <c r="J855" s="24"/>
    </row>
    <row r="856">
      <c r="A856" s="38"/>
      <c r="J856" s="24"/>
    </row>
    <row r="857">
      <c r="A857" s="38"/>
      <c r="J857" s="24"/>
    </row>
    <row r="858">
      <c r="A858" s="38"/>
      <c r="J858" s="24"/>
    </row>
    <row r="859">
      <c r="A859" s="38"/>
      <c r="J859" s="24"/>
    </row>
    <row r="860">
      <c r="A860" s="38"/>
      <c r="J860" s="24"/>
    </row>
    <row r="861">
      <c r="A861" s="38"/>
      <c r="J861" s="24"/>
    </row>
    <row r="862">
      <c r="A862" s="38"/>
      <c r="J862" s="24"/>
    </row>
    <row r="863">
      <c r="A863" s="38"/>
      <c r="J863" s="24"/>
    </row>
    <row r="864">
      <c r="A864" s="38"/>
      <c r="J864" s="24"/>
    </row>
    <row r="865">
      <c r="A865" s="38"/>
      <c r="J865" s="24"/>
    </row>
    <row r="866">
      <c r="A866" s="38"/>
      <c r="J866" s="24"/>
    </row>
    <row r="867">
      <c r="A867" s="38"/>
      <c r="J867" s="24"/>
    </row>
    <row r="868">
      <c r="A868" s="38"/>
      <c r="J868" s="24"/>
    </row>
    <row r="869">
      <c r="A869" s="38"/>
      <c r="J869" s="24"/>
    </row>
    <row r="870">
      <c r="A870" s="38"/>
      <c r="J870" s="24"/>
    </row>
    <row r="871">
      <c r="A871" s="38"/>
      <c r="J871" s="24"/>
    </row>
    <row r="872">
      <c r="A872" s="38"/>
      <c r="J872" s="24"/>
    </row>
    <row r="873">
      <c r="A873" s="38"/>
      <c r="J873" s="24"/>
    </row>
    <row r="874">
      <c r="A874" s="38"/>
      <c r="J874" s="24"/>
    </row>
    <row r="875">
      <c r="A875" s="38"/>
      <c r="J875" s="24"/>
    </row>
    <row r="876">
      <c r="A876" s="38"/>
      <c r="J876" s="24"/>
    </row>
    <row r="877">
      <c r="A877" s="38"/>
      <c r="J877" s="24"/>
    </row>
    <row r="878">
      <c r="A878" s="38"/>
      <c r="J878" s="24"/>
    </row>
    <row r="879">
      <c r="A879" s="38"/>
      <c r="J879" s="24"/>
    </row>
    <row r="880">
      <c r="A880" s="38"/>
      <c r="J880" s="24"/>
    </row>
    <row r="881">
      <c r="A881" s="38"/>
      <c r="J881" s="24"/>
    </row>
    <row r="882">
      <c r="A882" s="38"/>
      <c r="J882" s="24"/>
    </row>
    <row r="883">
      <c r="A883" s="38"/>
      <c r="J883" s="24"/>
    </row>
    <row r="884">
      <c r="A884" s="38"/>
      <c r="J884" s="24"/>
    </row>
    <row r="885">
      <c r="A885" s="38"/>
      <c r="J885" s="24"/>
    </row>
    <row r="886">
      <c r="A886" s="38"/>
      <c r="J886" s="24"/>
    </row>
    <row r="887">
      <c r="A887" s="38"/>
      <c r="J887" s="24"/>
    </row>
    <row r="888">
      <c r="A888" s="38"/>
      <c r="J888" s="24"/>
    </row>
    <row r="889">
      <c r="A889" s="38"/>
      <c r="J889" s="24"/>
    </row>
    <row r="890">
      <c r="A890" s="38"/>
      <c r="J890" s="24"/>
    </row>
    <row r="891">
      <c r="A891" s="38"/>
      <c r="J891" s="24"/>
    </row>
    <row r="892">
      <c r="A892" s="38"/>
      <c r="J892" s="24"/>
    </row>
    <row r="893">
      <c r="A893" s="38"/>
      <c r="J893" s="24"/>
    </row>
    <row r="894">
      <c r="A894" s="38"/>
      <c r="J894" s="24"/>
    </row>
    <row r="895">
      <c r="A895" s="38"/>
      <c r="J895" s="24"/>
    </row>
    <row r="896">
      <c r="A896" s="38"/>
      <c r="J896" s="24"/>
    </row>
    <row r="897">
      <c r="A897" s="38"/>
      <c r="J897" s="24"/>
    </row>
    <row r="898">
      <c r="A898" s="38"/>
      <c r="J898" s="24"/>
    </row>
    <row r="899">
      <c r="A899" s="38"/>
      <c r="J899" s="24"/>
    </row>
    <row r="900">
      <c r="A900" s="38"/>
      <c r="J900" s="24"/>
    </row>
    <row r="901">
      <c r="A901" s="38"/>
      <c r="J901" s="24"/>
    </row>
    <row r="902">
      <c r="A902" s="38"/>
      <c r="J902" s="24"/>
    </row>
    <row r="903">
      <c r="A903" s="38"/>
      <c r="J903" s="24"/>
    </row>
    <row r="904">
      <c r="A904" s="38"/>
      <c r="J904" s="24"/>
    </row>
    <row r="905">
      <c r="A905" s="38"/>
      <c r="J905" s="24"/>
    </row>
    <row r="906">
      <c r="A906" s="38"/>
      <c r="J906" s="24"/>
    </row>
    <row r="907">
      <c r="A907" s="38"/>
      <c r="J907" s="24"/>
    </row>
    <row r="908">
      <c r="A908" s="38"/>
      <c r="J908" s="24"/>
    </row>
    <row r="909">
      <c r="A909" s="38"/>
      <c r="J909" s="24"/>
    </row>
    <row r="910">
      <c r="A910" s="38"/>
      <c r="J910" s="24"/>
    </row>
    <row r="911">
      <c r="A911" s="38"/>
      <c r="J911" s="24"/>
    </row>
    <row r="912">
      <c r="A912" s="38"/>
      <c r="J912" s="24"/>
    </row>
    <row r="913">
      <c r="A913" s="38"/>
      <c r="J913" s="24"/>
    </row>
    <row r="914">
      <c r="A914" s="38"/>
      <c r="J914" s="24"/>
    </row>
    <row r="915">
      <c r="A915" s="38"/>
      <c r="J915" s="24"/>
    </row>
    <row r="916">
      <c r="A916" s="38"/>
      <c r="J916" s="24"/>
    </row>
    <row r="917">
      <c r="A917" s="38"/>
      <c r="J917" s="24"/>
    </row>
    <row r="918">
      <c r="A918" s="38"/>
      <c r="J918" s="24"/>
    </row>
    <row r="919">
      <c r="A919" s="38"/>
      <c r="J919" s="24"/>
    </row>
    <row r="920">
      <c r="A920" s="38"/>
      <c r="J920" s="24"/>
    </row>
    <row r="921">
      <c r="A921" s="38"/>
      <c r="J921" s="24"/>
    </row>
    <row r="922">
      <c r="A922" s="38"/>
      <c r="J922" s="24"/>
    </row>
    <row r="923">
      <c r="A923" s="38"/>
      <c r="J923" s="24"/>
    </row>
    <row r="924">
      <c r="A924" s="38"/>
      <c r="J924" s="24"/>
    </row>
    <row r="925">
      <c r="A925" s="38"/>
      <c r="J925" s="24"/>
    </row>
    <row r="926">
      <c r="A926" s="38"/>
      <c r="J926" s="24"/>
    </row>
    <row r="927">
      <c r="A927" s="38"/>
      <c r="J927" s="24"/>
    </row>
    <row r="928">
      <c r="A928" s="38"/>
      <c r="J928" s="24"/>
    </row>
    <row r="929">
      <c r="A929" s="38"/>
      <c r="J929" s="24"/>
    </row>
    <row r="930">
      <c r="A930" s="38"/>
      <c r="J930" s="24"/>
    </row>
    <row r="931">
      <c r="A931" s="38"/>
      <c r="J931" s="24"/>
    </row>
    <row r="932">
      <c r="A932" s="38"/>
      <c r="J932" s="24"/>
    </row>
    <row r="933">
      <c r="A933" s="38"/>
      <c r="J933" s="24"/>
    </row>
    <row r="934">
      <c r="A934" s="38"/>
      <c r="J934" s="24"/>
    </row>
    <row r="935">
      <c r="A935" s="38"/>
      <c r="J935" s="24"/>
    </row>
    <row r="936">
      <c r="A936" s="38"/>
      <c r="J936" s="24"/>
    </row>
    <row r="937">
      <c r="A937" s="38"/>
      <c r="J937" s="24"/>
    </row>
    <row r="938">
      <c r="A938" s="38"/>
      <c r="J938" s="24"/>
    </row>
    <row r="939">
      <c r="A939" s="38"/>
      <c r="J939" s="24"/>
    </row>
    <row r="940">
      <c r="A940" s="38"/>
      <c r="J940" s="24"/>
    </row>
    <row r="941">
      <c r="A941" s="38"/>
      <c r="J941" s="24"/>
    </row>
    <row r="942">
      <c r="A942" s="38"/>
      <c r="J942" s="24"/>
    </row>
    <row r="943">
      <c r="A943" s="38"/>
      <c r="J943" s="24"/>
    </row>
    <row r="944">
      <c r="A944" s="38"/>
      <c r="J944" s="24"/>
    </row>
    <row r="945">
      <c r="A945" s="38"/>
      <c r="J945" s="24"/>
    </row>
    <row r="946">
      <c r="A946" s="38"/>
      <c r="J946" s="24"/>
    </row>
    <row r="947">
      <c r="A947" s="38"/>
      <c r="J947" s="24"/>
    </row>
    <row r="948">
      <c r="A948" s="38"/>
      <c r="J948" s="24"/>
    </row>
    <row r="949">
      <c r="A949" s="38"/>
      <c r="J949" s="24"/>
    </row>
    <row r="950">
      <c r="A950" s="38"/>
      <c r="J950" s="24"/>
    </row>
    <row r="951">
      <c r="A951" s="38"/>
      <c r="J951" s="24"/>
    </row>
    <row r="952">
      <c r="A952" s="38"/>
      <c r="J952" s="24"/>
    </row>
    <row r="953">
      <c r="A953" s="38"/>
      <c r="J953" s="24"/>
    </row>
    <row r="954">
      <c r="A954" s="38"/>
      <c r="J954" s="24"/>
    </row>
    <row r="955">
      <c r="A955" s="38"/>
      <c r="J955" s="24"/>
    </row>
    <row r="956">
      <c r="A956" s="38"/>
      <c r="J956" s="24"/>
    </row>
    <row r="957">
      <c r="A957" s="38"/>
      <c r="J957" s="24"/>
    </row>
    <row r="958">
      <c r="A958" s="38"/>
      <c r="J958" s="24"/>
    </row>
    <row r="959">
      <c r="A959" s="38"/>
      <c r="J959" s="24"/>
    </row>
    <row r="960">
      <c r="A960" s="38"/>
      <c r="J960" s="24"/>
    </row>
    <row r="961">
      <c r="A961" s="38"/>
      <c r="J961" s="24"/>
    </row>
    <row r="962">
      <c r="A962" s="38"/>
      <c r="J962" s="24"/>
    </row>
    <row r="963">
      <c r="A963" s="38"/>
      <c r="J963" s="24"/>
    </row>
  </sheetData>
  <drawing r:id="rId1"/>
</worksheet>
</file>